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0"/>
  <bookViews>
    <workbookView xWindow="0" yWindow="760" windowWidth="30240" windowHeight="18880" firstSheet="0" activeTab="0"/>
  </bookViews>
  <sheets>
    <sheet name="Extraction" sheetId="1" state="visible" r:id="rId1"/>
    <sheet name="RTPCR" sheetId="7" state="visible" r:id="rId2"/>
    <sheet name="QS5" sheetId="8" state="visible" r:id="rId3"/>
    <sheet name="Sheet1" sheetId="9" state="visible" r:id="rId4"/>
    <sheet name="Results" sheetId="10" state="visible" r:id="rId5"/>
  </sheets>
  <definedNames>
    <definedName name="_xlnm.Print_Area" localSheetId="0">Extraction!$A$1:$O$97</definedName>
  </definedNames>
  <calcPr calcId="191028"/>
</workbook>
</file>

<file path=xl/sharedStrings.xml><?xml version="1.0" encoding="utf-8"?>
<sst xmlns="http://schemas.openxmlformats.org/spreadsheetml/2006/main" count="638" uniqueCount="638">
  <si>
    <t>RNA-DNA extraction</t>
  </si>
  <si>
    <t>Samples</t>
  </si>
  <si>
    <t>Sample Identifier</t>
  </si>
  <si>
    <t>extraction notes</t>
  </si>
  <si>
    <t>Row</t>
  </si>
  <si>
    <t>Column</t>
  </si>
  <si>
    <t>Date</t>
  </si>
  <si>
    <t>20241212</t>
  </si>
  <si>
    <t>date this plate was extracted: YYYYMMDD</t>
  </si>
  <si>
    <t>22MB00150</t>
  </si>
  <si>
    <t>A</t>
  </si>
  <si>
    <t>22MB00151</t>
  </si>
  <si>
    <t>Plate #</t>
  </si>
  <si>
    <t>plate number (if multiple on same day)</t>
  </si>
  <si>
    <t>22MB00152</t>
  </si>
  <si>
    <t>22MB00153</t>
  </si>
  <si>
    <t>Initials</t>
  </si>
  <si>
    <t>SNH</t>
  </si>
  <si>
    <t>initials of extractor</t>
  </si>
  <si>
    <t>22MB00154</t>
  </si>
  <si>
    <t>22MB00155</t>
  </si>
  <si>
    <t>22MB00156</t>
  </si>
  <si>
    <t>22MB00157</t>
  </si>
  <si>
    <t>Plate notes</t>
  </si>
  <si>
    <t>Samples are from season 2022 in Cordova, AK (samples 22MB00150 - 22MB00160). *Will add 300ul VTM to 2022 Cordova samples due to faulty vials and leakage. Rest of samples are from season 2023 in Cordova, AK (samples 23MB00201 - 23MB00277</t>
  </si>
  <si>
    <t>22MB00158</t>
  </si>
  <si>
    <t>22MB00159</t>
  </si>
  <si>
    <t>22MB00160</t>
  </si>
  <si>
    <t>23MB00201</t>
  </si>
  <si>
    <t>VTM-1</t>
  </si>
  <si>
    <t>negative control</t>
  </si>
  <si>
    <t>23MB00202</t>
  </si>
  <si>
    <t>B</t>
  </si>
  <si>
    <t>23MB00203</t>
  </si>
  <si>
    <t>23MB00204</t>
  </si>
  <si>
    <t>23MB00205</t>
  </si>
  <si>
    <t>23MB00206</t>
  </si>
  <si>
    <t>23MB00207</t>
  </si>
  <si>
    <t>23MB00208</t>
  </si>
  <si>
    <t>23MB00209</t>
  </si>
  <si>
    <t>23MB00210</t>
  </si>
  <si>
    <t>Extraction kit</t>
  </si>
  <si>
    <t>Omega Bio-tek Universal Pathogen Core Kit</t>
  </si>
  <si>
    <t>23MB00211</t>
  </si>
  <si>
    <t>23MB00212</t>
  </si>
  <si>
    <t>23MB00213</t>
  </si>
  <si>
    <t>VTM-2</t>
  </si>
  <si>
    <t>23MB00214</t>
  </si>
  <si>
    <t>C</t>
  </si>
  <si>
    <t>23MB00215</t>
  </si>
  <si>
    <t>23MB00216</t>
  </si>
  <si>
    <t>23MB00217</t>
  </si>
  <si>
    <t>23MB00218</t>
  </si>
  <si>
    <t>23MB00219</t>
  </si>
  <si>
    <t>23MB00220</t>
  </si>
  <si>
    <t>23MB00221</t>
  </si>
  <si>
    <t>23MB00222</t>
  </si>
  <si>
    <t>23MB00223</t>
  </si>
  <si>
    <t>23MB00224</t>
  </si>
  <si>
    <t>23MB00225</t>
  </si>
  <si>
    <t>VTM-3</t>
  </si>
  <si>
    <t>23MB00226</t>
  </si>
  <si>
    <t>D</t>
  </si>
  <si>
    <t>23MB00227</t>
  </si>
  <si>
    <t>23MB00228</t>
  </si>
  <si>
    <t>23MB00229</t>
  </si>
  <si>
    <t>23MB00230</t>
  </si>
  <si>
    <t>23MB00231</t>
  </si>
  <si>
    <t>23MB00232</t>
  </si>
  <si>
    <t>23MB00233</t>
  </si>
  <si>
    <t>23MB00234</t>
  </si>
  <si>
    <t>23MB00235</t>
  </si>
  <si>
    <t>23MB00236</t>
  </si>
  <si>
    <t>23MB00237</t>
  </si>
  <si>
    <t>VTM-4</t>
  </si>
  <si>
    <t>23MB00238</t>
  </si>
  <si>
    <t>E</t>
  </si>
  <si>
    <t>23MB00239</t>
  </si>
  <si>
    <t>23MB00240</t>
  </si>
  <si>
    <t>23MB00241</t>
  </si>
  <si>
    <t>23MB00242</t>
  </si>
  <si>
    <t>23MB00243</t>
  </si>
  <si>
    <t>23MB00244</t>
  </si>
  <si>
    <t>23MB00245</t>
  </si>
  <si>
    <t>23MB00246</t>
  </si>
  <si>
    <t>23MB00247</t>
  </si>
  <si>
    <t>23MB00248</t>
  </si>
  <si>
    <t>23MB00249</t>
  </si>
  <si>
    <t>VTM-5</t>
  </si>
  <si>
    <t>23MB00250</t>
  </si>
  <si>
    <t>F</t>
  </si>
  <si>
    <t>23MB00251</t>
  </si>
  <si>
    <t>23MB00252</t>
  </si>
  <si>
    <t>23MB00253</t>
  </si>
  <si>
    <t>23MB00254</t>
  </si>
  <si>
    <t>23MB00255</t>
  </si>
  <si>
    <t>23MB00256</t>
  </si>
  <si>
    <t>23MB00257</t>
  </si>
  <si>
    <t>23MB00258</t>
  </si>
  <si>
    <t>23MB00259</t>
  </si>
  <si>
    <t>23MB00260</t>
  </si>
  <si>
    <t>23MB00261</t>
  </si>
  <si>
    <t>VTM-6</t>
  </si>
  <si>
    <t>23MB00262</t>
  </si>
  <si>
    <t>G</t>
  </si>
  <si>
    <t>23MB00263</t>
  </si>
  <si>
    <t>23MB00264</t>
  </si>
  <si>
    <t>23MB00265</t>
  </si>
  <si>
    <t>23MB00266</t>
  </si>
  <si>
    <t>23MB00267</t>
  </si>
  <si>
    <t>23MB00268</t>
  </si>
  <si>
    <t>23MB00269</t>
  </si>
  <si>
    <t>23MB00270</t>
  </si>
  <si>
    <t>23MB00271</t>
  </si>
  <si>
    <t>23MB00272</t>
  </si>
  <si>
    <t>23MB00273</t>
  </si>
  <si>
    <t>PR8</t>
  </si>
  <si>
    <t>Extraction pos. control (virus)</t>
  </si>
  <si>
    <t>23MB00274</t>
  </si>
  <si>
    <t>H</t>
  </si>
  <si>
    <t>23MB00275</t>
  </si>
  <si>
    <t>23MB00276</t>
  </si>
  <si>
    <t>23MB00277</t>
  </si>
  <si>
    <t>RT-PCR pos. control (RNA)</t>
  </si>
  <si>
    <t>RT-PCR</t>
  </si>
  <si>
    <t>Plate Name</t>
  </si>
  <si>
    <t>Reagent notes</t>
  </si>
  <si>
    <t>Reagent</t>
  </si>
  <si>
    <t>Calculations</t>
  </si>
  <si>
    <r>
      <t xml:space="preserve">Date written on label            </t>
    </r>
    <r>
      <rPr>
        <sz val="10"/>
        <rFont val="Arial"/>
        <family val="2"/>
      </rPr>
      <t>(1st aliquot/bottle)</t>
    </r>
  </si>
  <si>
    <r>
      <t xml:space="preserve">Date written on label      </t>
    </r>
    <r>
      <rPr>
        <sz val="10"/>
        <rFont val="Arial"/>
        <family val="2"/>
      </rPr>
      <t xml:space="preserve">                          (2nd aliquot/bottle)</t>
    </r>
  </si>
  <si>
    <r>
      <t xml:space="preserve">Date written on label        </t>
    </r>
    <r>
      <rPr>
        <sz val="10"/>
        <rFont val="Arial"/>
        <family val="2"/>
      </rPr>
      <t xml:space="preserve">                (3rd aliquot/bottle)</t>
    </r>
  </si>
  <si>
    <t>Toughmix</t>
  </si>
  <si>
    <t>nuclease-free water</t>
  </si>
  <si>
    <t>forward primer</t>
  </si>
  <si>
    <t>reverse primer</t>
  </si>
  <si>
    <t>probe</t>
  </si>
  <si>
    <t>cDNA positive control (PR8)</t>
  </si>
  <si>
    <t>* Block Type = 96-Well 0.1-mL Block</t>
  </si>
  <si>
    <t>* Date Created = Wed Jan 04 12:44:52 EST 2023</t>
  </si>
  <si>
    <t>* Passive Reference = ROX</t>
  </si>
  <si>
    <t xml:space="preserve">* Barcode = </t>
  </si>
  <si>
    <t>[Sample Setup]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</si>
  <si>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</si>
  <si>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</si>
  <si>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</si>
  <si>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</si>
  <si>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</si>
  <si>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</si>
  <si>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</si>
  <si>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</si>
  <si>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</si>
  <si>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</si>
  <si>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</si>
  <si>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</si>
  <si>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</si>
  <si>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</si>
  <si>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</si>
  <si>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</si>
  <si>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</si>
  <si>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</si>
  <si>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</si>
  <si>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</si>
  <si>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</si>
  <si>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</si>
  <si>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</si>
  <si>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</si>
  <si>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</si>
  <si>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</si>
  <si>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</si>
  <si>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</si>
  <si>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</si>
  <si>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</si>
  <si>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</si>
  <si>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</si>
  <si>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</si>
  <si>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</si>
  <si>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</si>
  <si>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</si>
  <si>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</si>
  <si>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</si>
  <si>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</si>
  <si>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</si>
  <si>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</si>
  <si>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</si>
  <si>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</si>
  <si>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</si>
  <si>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</si>
  <si>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</si>
  <si>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</si>
  <si>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</si>
  <si>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</si>
  <si>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</si>
  <si>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</si>
  <si>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</si>
  <si>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</si>
  <si>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</si>
  <si>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</si>
  <si>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</si>
  <si>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</si>
  <si>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</si>
  <si>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</si>
  <si>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</si>
  <si>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</si>
  <si>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</si>
  <si>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</si>
  <si>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</si>
  <si>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</si>
  <si>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</si>
  <si>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</si>
  <si>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</si>
  <si>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</si>
  <si>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</si>
  <si>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</si>
  <si>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</si>
  <si>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</si>
  <si>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</si>
  <si>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</si>
  <si>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</si>
  <si>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</si>
  <si>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</si>
  <si>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</si>
  <si>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</si>
  <si>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</si>
  <si>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</si>
  <si>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</si>
  <si>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</si>
  <si>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</si>
  <si>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</si>
  <si>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</si>
  <si>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</si>
  <si>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</si>
  <si>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</si>
  <si>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</si>
  <si>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</si>
  <si>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</si>
  <si>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</si>
  <si>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</si>
  <si>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</si>
  <si>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</si>
  <si>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</si>
  <si>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</si>
  <si>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</si>
  <si>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</si>
  <si>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</si>
  <si>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</si>
  <si>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</si>
  <si>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</si>
  <si>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</si>
  <si>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</si>
  <si>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</si>
  <si>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</si>
  <si>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</si>
  <si>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 xml:space="preserve">/Users/jonathandain/Library/CloudStorage/OneDrive-UniversityofMassachusettsBoston/Temp_qPCR_Run_Files/qPCR_IAV_matrix_20241115.eds</t>
  </si>
  <si>
    <t xml:space="preserve">...3</t>
  </si>
  <si>
    <t xml:space="preserve">...4</t>
  </si>
  <si>
    <t xml:space="preserve">...5</t>
  </si>
  <si>
    <t xml:space="preserve">...6</t>
  </si>
  <si>
    <t xml:space="preserve">...7</t>
  </si>
  <si>
    <t xml:space="preserve">...8</t>
  </si>
  <si>
    <t xml:space="preserve">...9</t>
  </si>
  <si>
    <t xml:space="preserve">...10</t>
  </si>
  <si>
    <t xml:space="preserve">...11</t>
  </si>
  <si>
    <t xml:space="preserve">...12</t>
  </si>
  <si>
    <t xml:space="preserve">...13</t>
  </si>
  <si>
    <t xml:space="preserve">...14</t>
  </si>
  <si>
    <t xml:space="preserve">...15</t>
  </si>
  <si>
    <t xml:space="preserve">...16</t>
  </si>
  <si>
    <t xml:space="preserve">...17</t>
  </si>
  <si>
    <t xml:space="preserve">...18</t>
  </si>
  <si>
    <t xml:space="preserve">...19</t>
  </si>
  <si>
    <t xml:space="preserve">...20</t>
  </si>
  <si>
    <t xml:space="preserve">...21</t>
  </si>
  <si>
    <t xml:space="preserve">Comment</t>
  </si>
  <si>
    <t xml:space="preserve">Operator</t>
  </si>
  <si>
    <t xml:space="preserve">DEFAULT</t>
  </si>
  <si>
    <t xml:space="preserve">Barcode</t>
  </si>
  <si>
    <t xml:space="preserve">Instrument Type</t>
  </si>
  <si>
    <t xml:space="preserve">QuantStudio™ 5 System</t>
  </si>
  <si>
    <t xml:space="preserve">Block Type</t>
  </si>
  <si>
    <t xml:space="preserve">96-Well 0.1-mL Block</t>
  </si>
  <si>
    <t xml:space="preserve">Instrument Name</t>
  </si>
  <si>
    <t xml:space="preserve">272510305</t>
  </si>
  <si>
    <t xml:space="preserve">Instrument Serial Number</t>
  </si>
  <si>
    <t xml:space="preserve">Heated Cover Serial Number</t>
  </si>
  <si>
    <t xml:space="preserve">Block serial number</t>
  </si>
  <si>
    <t xml:space="preserve">17081381</t>
  </si>
  <si>
    <t xml:space="preserve">Run Start Date/Time</t>
  </si>
  <si>
    <t xml:space="preserve">2024-12-19 01:28:36 PM EST</t>
  </si>
  <si>
    <t xml:space="preserve">Run End Data/Time</t>
  </si>
  <si>
    <t xml:space="preserve">2024-12-19 02:24:30 PM EST</t>
  </si>
  <si>
    <t xml:space="preserve">Run Duration</t>
  </si>
  <si>
    <t xml:space="preserve">55 minutes 54 seconds</t>
  </si>
  <si>
    <t xml:space="preserve">Sample Volume</t>
  </si>
  <si>
    <t xml:space="preserve">20.0</t>
  </si>
  <si>
    <t xml:space="preserve">Cover Temperature</t>
  </si>
  <si>
    <t xml:space="preserve">105.0</t>
  </si>
  <si>
    <t xml:space="preserve">Passive Reference</t>
  </si>
  <si>
    <t xml:space="preserve">ROX</t>
  </si>
  <si>
    <t xml:space="preserve">PCR Stage/Step Number</t>
  </si>
  <si>
    <t xml:space="preserve">Stage 2 Step 2</t>
  </si>
  <si>
    <t xml:space="preserve">Quantification Cycle Method</t>
  </si>
  <si>
    <t xml:space="preserve">CT</t>
  </si>
  <si>
    <t xml:space="preserve">Analysis Date/Time</t>
  </si>
  <si>
    <t xml:space="preserve">2025-01-03 02:44:41 PM EST</t>
  </si>
  <si>
    <t xml:space="preserve">Software Name and Version</t>
  </si>
  <si>
    <t xml:space="preserve">Design &amp; Analysis Software v2.7.0</t>
  </si>
  <si>
    <t xml:space="preserve">Plugin Name and Version</t>
  </si>
  <si>
    <t xml:space="preserve">Primary Analysis v1.8.0, Standard Curve v1.7.0</t>
  </si>
  <si>
    <t xml:space="preserve">Reduce dye signal crosstalk by algorithm</t>
  </si>
  <si>
    <t xml:space="preserve">No (Default)</t>
  </si>
  <si>
    <t xml:space="preserve">Exported On</t>
  </si>
  <si>
    <t xml:space="preserve">2025-01-03 02:46:13 PM EST</t>
  </si>
  <si>
    <t xml:space="preserve">Well</t>
  </si>
  <si>
    <t xml:space="preserve">Well Position</t>
  </si>
  <si>
    <t xml:space="preserve">Omit</t>
  </si>
  <si>
    <t xml:space="preserve">Sample</t>
  </si>
  <si>
    <t xml:space="preserve">Target</t>
  </si>
  <si>
    <t xml:space="preserve">Task</t>
  </si>
  <si>
    <t xml:space="preserve">Reporter</t>
  </si>
  <si>
    <t xml:space="preserve">Quencher</t>
  </si>
  <si>
    <t xml:space="preserve">Amp Status</t>
  </si>
  <si>
    <t xml:space="preserve">Amp Score</t>
  </si>
  <si>
    <t xml:space="preserve">Curve Quality</t>
  </si>
  <si>
    <t xml:space="preserve">Result Quality Issues</t>
  </si>
  <si>
    <t xml:space="preserve">Cq</t>
  </si>
  <si>
    <t xml:space="preserve">Cq Confidence</t>
  </si>
  <si>
    <t xml:space="preserve">Cq Mean</t>
  </si>
  <si>
    <t xml:space="preserve">Cq SD</t>
  </si>
  <si>
    <t xml:space="preserve">Auto Threshold</t>
  </si>
  <si>
    <t xml:space="preserve">Threshold</t>
  </si>
  <si>
    <t xml:space="preserve">Auto Baseline</t>
  </si>
  <si>
    <t xml:space="preserve">Baseline Start</t>
  </si>
  <si>
    <t xml:space="preserve">Baseline End</t>
  </si>
  <si>
    <t xml:space="preserve">3</t>
  </si>
  <si>
    <t xml:space="preserve">A3</t>
  </si>
  <si>
    <t xml:space="preserve">FALSE</t>
  </si>
  <si>
    <t xml:space="preserve">22MB00064</t>
  </si>
  <si>
    <t xml:space="preserve">IAV_matrix</t>
  </si>
  <si>
    <t xml:space="preserve">UNKNOWN</t>
  </si>
  <si>
    <t xml:space="preserve">FAM</t>
  </si>
  <si>
    <t xml:space="preserve">NFQ-MGB</t>
  </si>
  <si>
    <t xml:space="preserve">NO_AMP</t>
  </si>
  <si>
    <t xml:space="preserve">0</t>
  </si>
  <si>
    <t xml:space="preserve">UNDETERMINED</t>
  </si>
  <si>
    <t xml:space="preserve">TRUE</t>
  </si>
  <si>
    <t xml:space="preserve">1.1678600632634439</t>
  </si>
  <si>
    <t xml:space="preserve">44</t>
  </si>
  <si>
    <t xml:space="preserve">4</t>
  </si>
  <si>
    <t xml:space="preserve">A4</t>
  </si>
  <si>
    <t xml:space="preserve">22MB00065</t>
  </si>
  <si>
    <t xml:space="preserve">5</t>
  </si>
  <si>
    <t xml:space="preserve">A5</t>
  </si>
  <si>
    <t xml:space="preserve">22MB00066</t>
  </si>
  <si>
    <t xml:space="preserve">6</t>
  </si>
  <si>
    <t xml:space="preserve">A6</t>
  </si>
  <si>
    <t xml:space="preserve">22MB00067</t>
  </si>
  <si>
    <t xml:space="preserve">7</t>
  </si>
  <si>
    <t xml:space="preserve">A7</t>
  </si>
  <si>
    <t xml:space="preserve">22MB00068</t>
  </si>
  <si>
    <t xml:space="preserve">8</t>
  </si>
  <si>
    <t xml:space="preserve">A8</t>
  </si>
  <si>
    <t xml:space="preserve">22MB00069</t>
  </si>
  <si>
    <t xml:space="preserve">9</t>
  </si>
  <si>
    <t xml:space="preserve">A9</t>
  </si>
  <si>
    <t xml:space="preserve">22MB00070</t>
  </si>
  <si>
    <t xml:space="preserve">10</t>
  </si>
  <si>
    <t xml:space="preserve">A10</t>
  </si>
  <si>
    <t xml:space="preserve">22MB00071</t>
  </si>
  <si>
    <t xml:space="preserve">11</t>
  </si>
  <si>
    <t xml:space="preserve">A11</t>
  </si>
  <si>
    <t xml:space="preserve">22MB00072</t>
  </si>
  <si>
    <t xml:space="preserve">12</t>
  </si>
  <si>
    <t xml:space="preserve">A12</t>
  </si>
  <si>
    <t xml:space="preserve">VTM-1</t>
  </si>
  <si>
    <t xml:space="preserve">NTC</t>
  </si>
  <si>
    <t xml:space="preserve">13</t>
  </si>
  <si>
    <t xml:space="preserve">B1</t>
  </si>
  <si>
    <t xml:space="preserve">22MB00073</t>
  </si>
  <si>
    <t xml:space="preserve">14</t>
  </si>
  <si>
    <t xml:space="preserve">B2</t>
  </si>
  <si>
    <t xml:space="preserve">22MB00074</t>
  </si>
  <si>
    <t xml:space="preserve">0.7064329440463335</t>
  </si>
  <si>
    <t xml:space="preserve">32</t>
  </si>
  <si>
    <t xml:space="preserve">15</t>
  </si>
  <si>
    <t xml:space="preserve">B3</t>
  </si>
  <si>
    <t xml:space="preserve">22MB00075</t>
  </si>
  <si>
    <t xml:space="preserve">16</t>
  </si>
  <si>
    <t xml:space="preserve">B4</t>
  </si>
  <si>
    <t xml:space="preserve">22MB00076</t>
  </si>
  <si>
    <t xml:space="preserve">17</t>
  </si>
  <si>
    <t xml:space="preserve">B5</t>
  </si>
  <si>
    <t xml:space="preserve">22MB00077</t>
  </si>
  <si>
    <t xml:space="preserve">18</t>
  </si>
  <si>
    <t xml:space="preserve">B6</t>
  </si>
  <si>
    <t xml:space="preserve">22MB00078</t>
  </si>
  <si>
    <t xml:space="preserve">19</t>
  </si>
  <si>
    <t xml:space="preserve">B7</t>
  </si>
  <si>
    <t xml:space="preserve">22MB00079</t>
  </si>
  <si>
    <t xml:space="preserve">20</t>
  </si>
  <si>
    <t xml:space="preserve">B8</t>
  </si>
  <si>
    <t xml:space="preserve">22MB00080</t>
  </si>
  <si>
    <t xml:space="preserve">21</t>
  </si>
  <si>
    <t xml:space="preserve">B9</t>
  </si>
  <si>
    <t xml:space="preserve">22MB00081</t>
  </si>
  <si>
    <t xml:space="preserve">22</t>
  </si>
  <si>
    <t xml:space="preserve">B10</t>
  </si>
  <si>
    <t xml:space="preserve">22MB00082</t>
  </si>
  <si>
    <t xml:space="preserve">23</t>
  </si>
  <si>
    <t xml:space="preserve">B11</t>
  </si>
  <si>
    <t xml:space="preserve">22MB00083</t>
  </si>
  <si>
    <t xml:space="preserve">24</t>
  </si>
  <si>
    <t xml:space="preserve">B12</t>
  </si>
  <si>
    <t xml:space="preserve">VTM-2</t>
  </si>
  <si>
    <t xml:space="preserve">25</t>
  </si>
  <si>
    <t xml:space="preserve">C1</t>
  </si>
  <si>
    <t xml:space="preserve">22MB00084</t>
  </si>
  <si>
    <t xml:space="preserve">26</t>
  </si>
  <si>
    <t xml:space="preserve">C2</t>
  </si>
  <si>
    <t xml:space="preserve">22MB00085</t>
  </si>
  <si>
    <t xml:space="preserve">27</t>
  </si>
  <si>
    <t xml:space="preserve">C3</t>
  </si>
  <si>
    <t xml:space="preserve">22MB00086</t>
  </si>
  <si>
    <t xml:space="preserve">28</t>
  </si>
  <si>
    <t xml:space="preserve">C4</t>
  </si>
  <si>
    <t xml:space="preserve">22MB00087</t>
  </si>
  <si>
    <t xml:space="preserve">29</t>
  </si>
  <si>
    <t xml:space="preserve">C5</t>
  </si>
  <si>
    <t xml:space="preserve">22MB00088</t>
  </si>
  <si>
    <t xml:space="preserve">30</t>
  </si>
  <si>
    <t xml:space="preserve">C6</t>
  </si>
  <si>
    <t xml:space="preserve">22MB00089</t>
  </si>
  <si>
    <t xml:space="preserve">31</t>
  </si>
  <si>
    <t xml:space="preserve">C7</t>
  </si>
  <si>
    <t xml:space="preserve">22MB00090</t>
  </si>
  <si>
    <t xml:space="preserve">C8</t>
  </si>
  <si>
    <t xml:space="preserve">22MB00091</t>
  </si>
  <si>
    <t xml:space="preserve">33</t>
  </si>
  <si>
    <t xml:space="preserve">C9</t>
  </si>
  <si>
    <t xml:space="preserve">22MB00092</t>
  </si>
  <si>
    <t xml:space="preserve">34</t>
  </si>
  <si>
    <t xml:space="preserve">C10</t>
  </si>
  <si>
    <t xml:space="preserve">22MB00093</t>
  </si>
  <si>
    <t xml:space="preserve">35</t>
  </si>
  <si>
    <t xml:space="preserve">C11</t>
  </si>
  <si>
    <t xml:space="preserve">22MB00094</t>
  </si>
  <si>
    <t xml:space="preserve">36</t>
  </si>
  <si>
    <t xml:space="preserve">C12</t>
  </si>
  <si>
    <t xml:space="preserve">VTM-3</t>
  </si>
  <si>
    <t xml:space="preserve">37</t>
  </si>
  <si>
    <t xml:space="preserve">D1</t>
  </si>
  <si>
    <t xml:space="preserve">22MB00095</t>
  </si>
  <si>
    <t xml:space="preserve">38</t>
  </si>
  <si>
    <t xml:space="preserve">D2</t>
  </si>
  <si>
    <t xml:space="preserve">22MB00096</t>
  </si>
  <si>
    <t xml:space="preserve">39</t>
  </si>
  <si>
    <t xml:space="preserve">D3</t>
  </si>
  <si>
    <t xml:space="preserve">22MB00097</t>
  </si>
  <si>
    <t xml:space="preserve">40</t>
  </si>
  <si>
    <t xml:space="preserve">D4</t>
  </si>
  <si>
    <t xml:space="preserve">22MB00098</t>
  </si>
  <si>
    <t xml:space="preserve">41</t>
  </si>
  <si>
    <t xml:space="preserve">D5</t>
  </si>
  <si>
    <t xml:space="preserve">22MB00099</t>
  </si>
  <si>
    <t xml:space="preserve">42</t>
  </si>
  <si>
    <t xml:space="preserve">D6</t>
  </si>
  <si>
    <t xml:space="preserve">22MB00100</t>
  </si>
  <si>
    <t xml:space="preserve">43</t>
  </si>
  <si>
    <t xml:space="preserve">D7</t>
  </si>
  <si>
    <t xml:space="preserve">22MB00101</t>
  </si>
  <si>
    <t xml:space="preserve">D8</t>
  </si>
  <si>
    <t xml:space="preserve">22MB00102</t>
  </si>
  <si>
    <t xml:space="preserve">45</t>
  </si>
  <si>
    <t xml:space="preserve">D9</t>
  </si>
  <si>
    <t xml:space="preserve">22MB00103</t>
  </si>
  <si>
    <t xml:space="preserve">46</t>
  </si>
  <si>
    <t xml:space="preserve">D10</t>
  </si>
  <si>
    <t xml:space="preserve">22MB00104</t>
  </si>
  <si>
    <t xml:space="preserve">47</t>
  </si>
  <si>
    <t xml:space="preserve">D11</t>
  </si>
  <si>
    <t xml:space="preserve">22MB00105</t>
  </si>
  <si>
    <t xml:space="preserve">48</t>
  </si>
  <si>
    <t xml:space="preserve">D12</t>
  </si>
  <si>
    <t xml:space="preserve">VTM-4</t>
  </si>
  <si>
    <t xml:space="preserve">49</t>
  </si>
  <si>
    <t xml:space="preserve">E1</t>
  </si>
  <si>
    <t xml:space="preserve">22MB00106</t>
  </si>
  <si>
    <t xml:space="preserve">50</t>
  </si>
  <si>
    <t xml:space="preserve">E2</t>
  </si>
  <si>
    <t xml:space="preserve">22MB00107</t>
  </si>
  <si>
    <t xml:space="preserve">51</t>
  </si>
  <si>
    <t xml:space="preserve">E3</t>
  </si>
  <si>
    <t xml:space="preserve">22MB00108</t>
  </si>
  <si>
    <t xml:space="preserve">52</t>
  </si>
  <si>
    <t xml:space="preserve">E4</t>
  </si>
  <si>
    <t xml:space="preserve">22MB00109</t>
  </si>
  <si>
    <t xml:space="preserve">53</t>
  </si>
  <si>
    <t xml:space="preserve">E5</t>
  </si>
  <si>
    <t xml:space="preserve">22MB00110</t>
  </si>
  <si>
    <t xml:space="preserve">54</t>
  </si>
  <si>
    <t xml:space="preserve">E6</t>
  </si>
  <si>
    <t xml:space="preserve">22MB00111</t>
  </si>
  <si>
    <t xml:space="preserve">55</t>
  </si>
  <si>
    <t xml:space="preserve">E7</t>
  </si>
  <si>
    <t xml:space="preserve">22MB00112</t>
  </si>
  <si>
    <t xml:space="preserve">56</t>
  </si>
  <si>
    <t xml:space="preserve">E8</t>
  </si>
  <si>
    <t xml:space="preserve">22MB00113</t>
  </si>
  <si>
    <t xml:space="preserve">57</t>
  </si>
  <si>
    <t xml:space="preserve">E9</t>
  </si>
  <si>
    <t xml:space="preserve">22MB00114</t>
  </si>
  <si>
    <t xml:space="preserve">58</t>
  </si>
  <si>
    <t xml:space="preserve">E10</t>
  </si>
  <si>
    <t xml:space="preserve">22MB00115</t>
  </si>
  <si>
    <t xml:space="preserve">59</t>
  </si>
  <si>
    <t xml:space="preserve">E11</t>
  </si>
  <si>
    <t xml:space="preserve">22MB00116</t>
  </si>
  <si>
    <t xml:space="preserve">0.21278409762061104</t>
  </si>
  <si>
    <t xml:space="preserve">60</t>
  </si>
  <si>
    <t xml:space="preserve">E12</t>
  </si>
  <si>
    <t xml:space="preserve">VTM-5</t>
  </si>
  <si>
    <t xml:space="preserve">61</t>
  </si>
  <si>
    <t xml:space="preserve">F1</t>
  </si>
  <si>
    <t xml:space="preserve">22MB00117</t>
  </si>
  <si>
    <t xml:space="preserve">62</t>
  </si>
  <si>
    <t xml:space="preserve">F2</t>
  </si>
  <si>
    <t xml:space="preserve">22MB00118</t>
  </si>
  <si>
    <t xml:space="preserve">63</t>
  </si>
  <si>
    <t xml:space="preserve">F3</t>
  </si>
  <si>
    <t xml:space="preserve">22MB00119</t>
  </si>
  <si>
    <t xml:space="preserve">64</t>
  </si>
  <si>
    <t xml:space="preserve">F4</t>
  </si>
  <si>
    <t xml:space="preserve">22MB00120</t>
  </si>
  <si>
    <t xml:space="preserve">65</t>
  </si>
  <si>
    <t xml:space="preserve">F5</t>
  </si>
  <si>
    <t xml:space="preserve">22MB00121</t>
  </si>
  <si>
    <t xml:space="preserve">66</t>
  </si>
  <si>
    <t xml:space="preserve">F6</t>
  </si>
  <si>
    <t xml:space="preserve">22MB00122</t>
  </si>
  <si>
    <t xml:space="preserve">67</t>
  </si>
  <si>
    <t xml:space="preserve">F7</t>
  </si>
  <si>
    <t xml:space="preserve">22MB00123</t>
  </si>
  <si>
    <t xml:space="preserve">68</t>
  </si>
  <si>
    <t xml:space="preserve">F8</t>
  </si>
  <si>
    <t xml:space="preserve">22MB00124</t>
  </si>
  <si>
    <t xml:space="preserve">69</t>
  </si>
  <si>
    <t xml:space="preserve">F9</t>
  </si>
  <si>
    <t xml:space="preserve">22MB00125</t>
  </si>
  <si>
    <t xml:space="preserve">70</t>
  </si>
  <si>
    <t xml:space="preserve">F10</t>
  </si>
  <si>
    <t xml:space="preserve">22MB00126</t>
  </si>
  <si>
    <t xml:space="preserve">71</t>
  </si>
  <si>
    <t xml:space="preserve">F11</t>
  </si>
  <si>
    <t xml:space="preserve">22MB00127</t>
  </si>
  <si>
    <t xml:space="preserve">72</t>
  </si>
  <si>
    <t xml:space="preserve">F12</t>
  </si>
  <si>
    <t xml:space="preserve">VTM-6</t>
  </si>
  <si>
    <t xml:space="preserve">73</t>
  </si>
  <si>
    <t xml:space="preserve">G1</t>
  </si>
  <si>
    <t xml:space="preserve">22MB00128</t>
  </si>
  <si>
    <t xml:space="preserve">74</t>
  </si>
  <si>
    <t xml:space="preserve">G2</t>
  </si>
  <si>
    <t xml:space="preserve">22MB00129</t>
  </si>
  <si>
    <t xml:space="preserve">75</t>
  </si>
  <si>
    <t xml:space="preserve">G3</t>
  </si>
  <si>
    <t xml:space="preserve">22MB00130</t>
  </si>
  <si>
    <t xml:space="preserve">76</t>
  </si>
  <si>
    <t xml:space="preserve">G4</t>
  </si>
  <si>
    <t xml:space="preserve">22MB00131</t>
  </si>
  <si>
    <t xml:space="preserve">77</t>
  </si>
  <si>
    <t xml:space="preserve">G5</t>
  </si>
  <si>
    <t xml:space="preserve">22MB00132</t>
  </si>
  <si>
    <t xml:space="preserve">78</t>
  </si>
  <si>
    <t xml:space="preserve">G6</t>
  </si>
  <si>
    <t xml:space="preserve">22MB00133</t>
  </si>
  <si>
    <t xml:space="preserve">79</t>
  </si>
  <si>
    <t xml:space="preserve">G7</t>
  </si>
  <si>
    <t xml:space="preserve">22MB00134</t>
  </si>
  <si>
    <t xml:space="preserve">80</t>
  </si>
  <si>
    <t xml:space="preserve">G8</t>
  </si>
  <si>
    <t xml:space="preserve">22MB00135</t>
  </si>
  <si>
    <t xml:space="preserve">81</t>
  </si>
  <si>
    <t xml:space="preserve">G9</t>
  </si>
  <si>
    <t xml:space="preserve">22MB00136</t>
  </si>
  <si>
    <t xml:space="preserve">82</t>
  </si>
  <si>
    <t xml:space="preserve">G10</t>
  </si>
  <si>
    <t xml:space="preserve">22MB00137</t>
  </si>
  <si>
    <t xml:space="preserve">83</t>
  </si>
  <si>
    <t xml:space="preserve">G11</t>
  </si>
  <si>
    <t xml:space="preserve">22MB00138</t>
  </si>
  <si>
    <t xml:space="preserve">84</t>
  </si>
  <si>
    <t xml:space="preserve">G12</t>
  </si>
  <si>
    <t xml:space="preserve">PR8</t>
  </si>
  <si>
    <t xml:space="preserve">POSITIVE_CONTROL</t>
  </si>
  <si>
    <t xml:space="preserve">AMP</t>
  </si>
  <si>
    <t xml:space="preserve">1.6979965426506729</t>
  </si>
  <si>
    <t xml:space="preserve">12.156998001081018</t>
  </si>
  <si>
    <t xml:space="preserve">0.97221099314951165</t>
  </si>
  <si>
    <t xml:space="preserve">16.376863988926885</t>
  </si>
  <si>
    <t xml:space="preserve">5.9677917114085757</t>
  </si>
  <si>
    <t xml:space="preserve">85</t>
  </si>
  <si>
    <t xml:space="preserve">H1</t>
  </si>
  <si>
    <t xml:space="preserve">22MB00139</t>
  </si>
  <si>
    <t xml:space="preserve">86</t>
  </si>
  <si>
    <t xml:space="preserve">H2</t>
  </si>
  <si>
    <t xml:space="preserve">22MB00140</t>
  </si>
  <si>
    <t xml:space="preserve">87</t>
  </si>
  <si>
    <t xml:space="preserve">H3</t>
  </si>
  <si>
    <t xml:space="preserve">22MB00141</t>
  </si>
  <si>
    <t xml:space="preserve">88</t>
  </si>
  <si>
    <t xml:space="preserve">H4</t>
  </si>
  <si>
    <t xml:space="preserve">22MB00142</t>
  </si>
  <si>
    <t xml:space="preserve">89</t>
  </si>
  <si>
    <t xml:space="preserve">H5</t>
  </si>
  <si>
    <t xml:space="preserve">22MB00143</t>
  </si>
  <si>
    <t xml:space="preserve">90</t>
  </si>
  <si>
    <t xml:space="preserve">H6</t>
  </si>
  <si>
    <t xml:space="preserve">22MB00144</t>
  </si>
  <si>
    <t xml:space="preserve">91</t>
  </si>
  <si>
    <t xml:space="preserve">H7</t>
  </si>
  <si>
    <t xml:space="preserve">22MB00145</t>
  </si>
  <si>
    <t xml:space="preserve">92</t>
  </si>
  <si>
    <t xml:space="preserve">H8</t>
  </si>
  <si>
    <t xml:space="preserve">22MB00146</t>
  </si>
  <si>
    <t xml:space="preserve">93</t>
  </si>
  <si>
    <t xml:space="preserve">H9</t>
  </si>
  <si>
    <t xml:space="preserve">22MB00147</t>
  </si>
  <si>
    <t xml:space="preserve">94</t>
  </si>
  <si>
    <t xml:space="preserve">H10</t>
  </si>
  <si>
    <t xml:space="preserve">22MB00148</t>
  </si>
  <si>
    <t xml:space="preserve">95</t>
  </si>
  <si>
    <t xml:space="preserve">H11</t>
  </si>
  <si>
    <t xml:space="preserve">22MB00149</t>
  </si>
  <si>
    <t xml:space="preserve">96</t>
  </si>
  <si>
    <t xml:space="preserve">H12</t>
  </si>
  <si>
    <t xml:space="preserve">1.6935088627512316</t>
  </si>
  <si>
    <t xml:space="preserve">20.596729976772757</t>
  </si>
  <si>
    <t xml:space="preserve">0.98500995457209617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</si>
</sst>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"/>
    <numFmt numFmtId="164" formatCode="dd\-mmm\-yyyy"/>
  </numFmts>
  <fonts count="13">
    <font>
      <sz val="10"/>
      <name val="Arial"/>
      <family val="2"/>
    </font>
    <font>
      <sz val="10"/>
      <color rgb="#000000"/>
      <name val="Arial"/>
      <family val="2"/>
      <b/>
    </font>
    <font>
      <sz val="14"/>
      <color rgb="#000000"/>
      <name val="Arial"/>
      <family val="2"/>
      <b/>
    </font>
    <font>
      <sz val="14"/>
      <color rgb="#000000"/>
      <name val="Arial"/>
      <family val="2"/>
    </font>
    <font>
      <sz val="10"/>
      <color rgb="#000000"/>
      <name val="Arial"/>
    </font>
    <font>
      <sz val="14"/>
      <color rgb="#000000"/>
      <name val="Calibri"/>
      <family val="2"/>
      <scheme val="minor"/>
    </font>
    <font>
      <sz val="24"/>
      <color rgb="#000000"/>
      <name val="Arial"/>
      <family val="2"/>
      <b/>
    </font>
    <font>
      <sz val="14"/>
      <color rgb="FF000000"/>
      <name val="Arial"/>
    </font>
    <font>
      <sz val="12"/>
      <color rgb="#000000"/>
      <name val="Arial"/>
      <family val="2"/>
    </font>
    <font>
      <sz val="20"/>
      <color rgb="#000000"/>
      <name val="Arial"/>
      <family val="2"/>
      <b/>
    </font>
    <font>
      <sz val="10"/>
      <color rgb="#000000"/>
      <name val="Arial"/>
      <family val="2"/>
    </font>
    <font>
      <sz val="12"/>
      <color rgb="#000000"/>
      <name val="Arial"/>
      <family val="2"/>
      <b/>
    </font>
    <font>
      <sz val="8"/>
      <color rgb="#000000"/>
      <name val="Arial"/>
      <family val="2"/>
      <b/>
    </font>
  </fonts>
  <fills count="1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2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55"/>
      </patternFill>
    </fill>
    <fill>
      <patternFill patternType="solid">
        <fgColor rgb="FF80FF00"/>
        <bgColor indexed="64"/>
      </patternFill>
    </fill>
    <fill>
      <patternFill patternType="solid">
        <fgColor indexed="44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right style="hair">
        <color indexed="8"/>
      </righ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 style="thick">
        <color rgb="FFFF0000"/>
      </left>
    </border>
    <border>
      <right style="hair">
        <color indexed="8"/>
      </right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top style="thick">
        <color rgb="FFFF0000"/>
      </top>
    </border>
    <border>
      <top style="thin">
        <color auto="1"/>
      </top>
    </border>
    <border>
      <top style="thick">
        <color auto="1"/>
      </top>
    </border>
    <border>
      <bottom style="thick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left style="medium">
        <color auto="1"/>
      </left>
      <top style="thin">
        <color auto="1"/>
      </top>
    </border>
    <border>
      <right style="medium">
        <color auto="1"/>
      </right>
      <top style="thin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bottom style="thick">
        <color auto="1"/>
      </bottom>
    </border>
    <border>
      <right style="medium">
        <color auto="1"/>
      </right>
      <bottom style="thick">
        <color auto="1"/>
      </bottom>
    </border>
    <border>
      <left style="medium">
        <color auto="1"/>
      </left>
      <top style="thick">
        <color auto="1"/>
      </top>
    </border>
    <border>
      <right style="medium">
        <color auto="1"/>
      </right>
      <top style="thick">
        <color auto="1"/>
      </top>
    </border>
    <border>
      <left style="hair">
        <color indexed="8"/>
      </left>
      <right style="thick">
        <color rgb="FFFF0000"/>
      </right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n">
        <color auto="1"/>
      </left>
      <top style="thin">
        <color auto="1"/>
      </top>
    </border>
    <border>
      <left style="thin">
        <color auto="1"/>
      </left>
      <bottom style="thin">
        <color auto="1"/>
      </bottom>
    </border>
    <border>
      <bottom style="thin">
        <color auto="1"/>
      </bottom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 style="thin">
        <color indexed="8"/>
      </right>
      <top style="thick">
        <color auto="1"/>
      </top>
      <bottom style="thin">
        <color indexed="8"/>
      </bottom>
    </border>
    <border>
      <right style="thick">
        <color auto="1"/>
      </right>
      <top style="thick">
        <color auto="1"/>
      </top>
      <bottom style="thin">
        <color indexed="8"/>
      </bottom>
    </border>
    <border>
      <left style="thick">
        <color auto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ck">
        <color auto="1"/>
      </left>
      <right style="thin">
        <color indexed="8"/>
      </right>
      <top style="thin">
        <color indexed="8"/>
      </top>
      <bottom style="thick">
        <color auto="1"/>
      </bottom>
    </border>
    <border>
      <left style="thick">
        <color auto="1"/>
      </left>
      <right style="thin">
        <color indexed="8"/>
      </right>
      <top style="thick">
        <color auto="1"/>
      </top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ck">
        <color auto="1"/>
      </right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ck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auto="1"/>
      </bottom>
    </border>
    <border>
      <left style="thin">
        <color indexed="8"/>
      </left>
      <right style="thick">
        <color auto="1"/>
      </right>
      <top style="thin">
        <color indexed="8"/>
      </top>
      <bottom style="thick">
        <color auto="1"/>
      </bottom>
    </border>
  </borders>
  <cellStyleXfs count="1">
    <xf numFmtId="0" fontId="0" fillId="0" borderId="0"/>
  </cellStyleXfs>
  <cellXfs count="15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 applyProtection="1">
      <alignment horizontal="justify" vertical="center" wrapText="1"/>
      <protection locked="0"/>
    </xf>
    <xf numFmtId="0" fontId="2" fillId="0" borderId="3" xfId="0" applyFont="1" applyBorder="1" applyAlignment="1" applyProtection="1">
      <alignment horizontal="justify" vertical="center" wrapText="1"/>
      <protection locked="0"/>
    </xf>
    <xf numFmtId="0" fontId="2" fillId="0" borderId="4" xfId="0" applyFont="1" applyBorder="1" applyAlignment="1" applyProtection="1">
      <alignment horizontal="justify" vertical="center" wrapText="1"/>
      <protection locked="0"/>
    </xf>
    <xf numFmtId="0" fontId="2" fillId="0" borderId="5" xfId="0" applyFont="1" applyBorder="1" applyAlignment="1" applyProtection="1">
      <alignment horizontal="justify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1" fontId="3" fillId="0" borderId="6" xfId="0" applyFont="1" applyNumberFormat="1" applyBorder="1" applyAlignment="1" applyProtection="1">
      <alignment horizontal="center"/>
      <protection locked="0"/>
    </xf>
    <xf numFmtId="1" fontId="3" fillId="0" borderId="7" xfId="0" applyFont="1" applyNumberFormat="1" applyBorder="1" applyAlignment="1" applyProtection="1">
      <alignment horizontal="center"/>
      <protection locked="0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49" fontId="3" fillId="0" borderId="6" xfId="0" applyFont="1" applyNumberFormat="1" applyBorder="1" applyAlignment="1">
      <alignment horizontal="center" vertical="center"/>
    </xf>
    <xf numFmtId="49" fontId="3" fillId="0" borderId="7" xfId="0" applyFont="1" applyNumberFormat="1" applyBorder="1" applyAlignment="1">
      <alignment horizontal="center" vertical="center"/>
    </xf>
    <xf numFmtId="165" fontId="5" fillId="0" borderId="6" xfId="0" applyFont="1" applyNumberFormat="1" applyBorder="1" applyAlignment="1">
      <alignment horizontal="center"/>
    </xf>
    <xf numFmtId="165" fontId="5" fillId="0" borderId="7" xfId="0" applyFont="1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8" xfId="0" applyFont="1" applyBorder="1" applyAlignment="1" applyProtection="1">
      <alignment horizontal="left"/>
      <protection locked="0"/>
    </xf>
    <xf numFmtId="0" fontId="2" fillId="2" borderId="0" xfId="0" applyFont="1" applyFill="1"/>
    <xf numFmtId="0" fontId="4" fillId="3" borderId="10" xfId="0" applyFont="1" applyFill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alignment horizontal="justify" vertical="center" wrapText="1"/>
      <protection locked="0"/>
    </xf>
    <xf numFmtId="0" fontId="8" fillId="0" borderId="0" xfId="0" applyFont="1"/>
    <xf numFmtId="0" fontId="8" fillId="0" borderId="12" xfId="0" applyFont="1" applyBorder="1"/>
    <xf numFmtId="0" fontId="8" fillId="0" borderId="13" xfId="0" applyFont="1" applyBorder="1"/>
    <xf numFmtId="0" fontId="8" fillId="4" borderId="14" xfId="0" applyFont="1" applyFill="1" applyBorder="1"/>
    <xf numFmtId="0" fontId="1" fillId="0" borderId="0" xfId="0" applyFont="1" applyAlignment="1">
      <alignment horizontal="center"/>
    </xf>
    <xf numFmtId="0" fontId="8" fillId="5" borderId="12" xfId="0" applyFont="1" applyFill="1" applyBorder="1"/>
    <xf numFmtId="0" fontId="8" fillId="5" borderId="0" xfId="0" applyFont="1" applyFill="1"/>
    <xf numFmtId="0" fontId="8" fillId="5" borderId="13" xfId="0" applyFont="1" applyFill="1" applyBorder="1"/>
    <xf numFmtId="0" fontId="8" fillId="0" borderId="14" xfId="0" applyFont="1" applyBorder="1"/>
    <xf numFmtId="164" fontId="8" fillId="5" borderId="12" xfId="0" applyFont="1" applyNumberFormat="1" applyFill="1" applyBorder="1" applyAlignment="1" applyProtection="1">
      <alignment horizontal="center"/>
      <protection locked="0"/>
    </xf>
    <xf numFmtId="164" fontId="8" fillId="5" borderId="0" xfId="0" applyFont="1" applyNumberFormat="1" applyFill="1" applyAlignment="1" applyProtection="1">
      <alignment horizontal="center"/>
      <protection locked="0"/>
    </xf>
    <xf numFmtId="0" fontId="8" fillId="5" borderId="0" xfId="0" applyFont="1" applyFill="1" applyAlignment="1" applyProtection="1">
      <alignment horizontal="center"/>
      <protection locked="0"/>
    </xf>
    <xf numFmtId="164" fontId="8" fillId="6" borderId="14" xfId="0" applyFont="1" applyNumberFormat="1" applyFill="1" applyBorder="1" applyAlignment="1" applyProtection="1">
      <alignment horizontal="center"/>
      <protection locked="0"/>
    </xf>
    <xf numFmtId="164" fontId="8" fillId="0" borderId="13" xfId="0" applyFont="1" applyNumberForma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164" fontId="8" fillId="0" borderId="0" xfId="0" applyFont="1" applyNumberFormat="1" applyAlignment="1" applyProtection="1">
      <alignment horizontal="center"/>
      <protection locked="0"/>
    </xf>
    <xf numFmtId="164" fontId="8" fillId="0" borderId="14" xfId="0" applyFont="1" applyNumberFormat="1" applyBorder="1" applyAlignment="1" applyProtection="1">
      <alignment horizontal="center"/>
      <protection locked="0"/>
    </xf>
    <xf numFmtId="164" fontId="8" fillId="5" borderId="13" xfId="0" applyFont="1" applyNumberFormat="1" applyFill="1" applyBorder="1" applyAlignment="1" applyProtection="1">
      <alignment horizontal="center"/>
      <protection locked="0"/>
    </xf>
    <xf numFmtId="164" fontId="8" fillId="0" borderId="12" xfId="0" applyFont="1" applyNumberFormat="1" applyBorder="1" applyAlignment="1" applyProtection="1">
      <alignment horizontal="center"/>
      <protection locked="0"/>
    </xf>
    <xf numFmtId="164" fontId="8" fillId="0" borderId="0" xfId="0" applyFont="1" applyNumberFormat="1" applyAlignment="1">
      <alignment horizontal="center"/>
    </xf>
    <xf numFmtId="164" fontId="8" fillId="7" borderId="0" xfId="0" applyFont="1" applyNumberFormat="1" applyFill="1" applyAlignment="1" applyProtection="1">
      <alignment horizontal="center"/>
      <protection locked="0"/>
    </xf>
    <xf numFmtId="0" fontId="8" fillId="7" borderId="0" xfId="0" applyFont="1" applyFill="1"/>
    <xf numFmtId="0" fontId="3" fillId="2" borderId="0" xfId="0" applyFont="1" applyFill="1"/>
    <xf numFmtId="0" fontId="3" fillId="0" borderId="0" xfId="0" applyFont="1"/>
    <xf numFmtId="0" fontId="8" fillId="8" borderId="15" xfId="0" applyFont="1" applyFill="1" applyBorder="1" applyAlignment="1">
      <alignment horizontal="right"/>
    </xf>
    <xf numFmtId="0" fontId="8" fillId="8" borderId="16" xfId="0" applyFont="1" applyFill="1" applyBorder="1" applyAlignment="1">
      <alignment horizontal="center"/>
    </xf>
    <xf numFmtId="0" fontId="8" fillId="8" borderId="16" xfId="0" applyFont="1" applyFill="1" applyBorder="1"/>
    <xf numFmtId="0" fontId="8" fillId="8" borderId="17" xfId="0" applyFont="1" applyFill="1" applyBorder="1"/>
    <xf numFmtId="0" fontId="8" fillId="5" borderId="18" xfId="0" applyFont="1" applyFill="1" applyBorder="1" applyAlignment="1" applyProtection="1">
      <alignment horizontal="right"/>
      <protection locked="0"/>
    </xf>
    <xf numFmtId="0" fontId="8" fillId="5" borderId="19" xfId="0" applyFont="1" applyFill="1" applyBorder="1"/>
    <xf numFmtId="0" fontId="8" fillId="5" borderId="20" xfId="0" applyFont="1" applyFill="1" applyBorder="1" applyAlignment="1" applyProtection="1">
      <alignment horizontal="right"/>
      <protection locked="0"/>
    </xf>
    <xf numFmtId="0" fontId="8" fillId="5" borderId="21" xfId="0" applyFont="1" applyFill="1" applyBorder="1"/>
    <xf numFmtId="0" fontId="8" fillId="6" borderId="22" xfId="0" applyFont="1" applyFill="1" applyBorder="1" applyAlignment="1" applyProtection="1">
      <alignment horizontal="right"/>
      <protection locked="0"/>
    </xf>
    <xf numFmtId="0" fontId="8" fillId="4" borderId="23" xfId="0" applyFont="1" applyFill="1" applyBorder="1"/>
    <xf numFmtId="0" fontId="8" fillId="0" borderId="24" xfId="0" applyFont="1" applyBorder="1" applyAlignment="1" applyProtection="1">
      <alignment horizontal="right"/>
      <protection locked="0"/>
    </xf>
    <xf numFmtId="0" fontId="8" fillId="0" borderId="25" xfId="0" applyFont="1" applyBorder="1"/>
    <xf numFmtId="0" fontId="8" fillId="0" borderId="20" xfId="0" applyFont="1" applyBorder="1" applyAlignment="1" applyProtection="1">
      <alignment horizontal="right"/>
      <protection locked="0"/>
    </xf>
    <xf numFmtId="0" fontId="8" fillId="0" borderId="21" xfId="0" applyFont="1" applyBorder="1"/>
    <xf numFmtId="0" fontId="8" fillId="0" borderId="22" xfId="0" applyFont="1" applyBorder="1" applyAlignment="1" applyProtection="1">
      <alignment horizontal="right"/>
      <protection locked="0"/>
    </xf>
    <xf numFmtId="0" fontId="8" fillId="0" borderId="23" xfId="0" applyFont="1" applyBorder="1"/>
    <xf numFmtId="0" fontId="8" fillId="5" borderId="24" xfId="0" applyFont="1" applyFill="1" applyBorder="1" applyAlignment="1" applyProtection="1">
      <alignment horizontal="right"/>
      <protection locked="0"/>
    </xf>
    <xf numFmtId="0" fontId="8" fillId="5" borderId="25" xfId="0" applyFont="1" applyFill="1" applyBorder="1"/>
    <xf numFmtId="0" fontId="8" fillId="0" borderId="18" xfId="0" applyFont="1" applyBorder="1" applyAlignment="1" applyProtection="1">
      <alignment horizontal="right"/>
      <protection locked="0"/>
    </xf>
    <xf numFmtId="0" fontId="8" fillId="0" borderId="19" xfId="0" applyFont="1" applyBorder="1"/>
    <xf numFmtId="164" fontId="8" fillId="7" borderId="20" xfId="0" applyFont="1" applyNumberFormat="1" applyFill="1" applyBorder="1" applyAlignment="1" applyProtection="1">
      <alignment horizontal="right"/>
      <protection locked="0"/>
    </xf>
    <xf numFmtId="0" fontId="8" fillId="7" borderId="21" xfId="0" applyFont="1" applyFill="1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1" fontId="3" fillId="0" borderId="11" xfId="0" applyFont="1" applyNumberFormat="1" applyBorder="1" applyAlignment="1" applyProtection="1">
      <alignment horizontal="left" vertical="center"/>
      <protection locked="0"/>
    </xf>
    <xf numFmtId="1" fontId="3" fillId="0" borderId="27" xfId="0" applyFont="1" applyNumberFormat="1" applyBorder="1" applyAlignment="1" applyProtection="1">
      <alignment horizontal="left" vertical="center"/>
      <protection locked="0"/>
    </xf>
    <xf numFmtId="1" fontId="3" fillId="0" borderId="28" xfId="0" applyFont="1" applyNumberFormat="1" applyBorder="1" applyAlignment="1" applyProtection="1">
      <alignment horizontal="left" vertical="center"/>
      <protection locked="0"/>
    </xf>
    <xf numFmtId="1" fontId="3" fillId="0" borderId="8" xfId="0" applyFont="1" applyNumberFormat="1" applyBorder="1" applyAlignment="1" applyProtection="1">
      <alignment horizontal="left" vertical="center"/>
      <protection locked="0"/>
    </xf>
    <xf numFmtId="1" fontId="3" fillId="0" borderId="0" xfId="0" applyFont="1" applyNumberFormat="1" applyAlignment="1" applyProtection="1">
      <alignment horizontal="left" vertical="center"/>
      <protection locked="0"/>
    </xf>
    <xf numFmtId="1" fontId="3" fillId="0" borderId="2" xfId="0" applyFont="1" applyNumberFormat="1" applyBorder="1" applyAlignment="1" applyProtection="1">
      <alignment horizontal="left" vertical="center"/>
      <protection locked="0"/>
    </xf>
    <xf numFmtId="1" fontId="3" fillId="0" borderId="3" xfId="0" applyFont="1" applyNumberFormat="1" applyBorder="1" applyAlignment="1" applyProtection="1">
      <alignment horizontal="left" vertical="center"/>
      <protection locked="0"/>
    </xf>
    <xf numFmtId="1" fontId="3" fillId="0" borderId="4" xfId="0" applyFont="1" applyNumberFormat="1" applyBorder="1" applyAlignment="1" applyProtection="1">
      <alignment horizontal="left" vertical="center"/>
      <protection locked="0"/>
    </xf>
    <xf numFmtId="1" fontId="3" fillId="0" borderId="5" xfId="0" applyFont="1" applyNumberFormat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>
      <alignment horizontal="left" vertical="top" wrapText="1"/>
    </xf>
    <xf numFmtId="0" fontId="2" fillId="0" borderId="27" xfId="0" applyFont="1" applyBorder="1" applyAlignment="1" applyProtection="1">
      <alignment horizontal="justify" vertical="center" wrapText="1"/>
      <protection locked="0"/>
    </xf>
    <xf numFmtId="0" fontId="2" fillId="0" borderId="28" xfId="0" applyFont="1" applyBorder="1" applyAlignment="1" applyProtection="1">
      <alignment horizontal="justify" vertical="center" wrapText="1"/>
      <protection locked="0"/>
    </xf>
    <xf numFmtId="0" fontId="2" fillId="0" borderId="8" xfId="0" applyFont="1" applyBorder="1" applyAlignment="1" applyProtection="1">
      <alignment horizontal="justify" vertical="center" wrapText="1"/>
      <protection locked="0"/>
    </xf>
    <xf numFmtId="0" fontId="2" fillId="0" borderId="0" xfId="0" applyFont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8" fillId="0" borderId="2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2" borderId="0" xfId="0" applyFont="1" applyFill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29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10" fillId="0" borderId="0" xfId="0" applyFont="1"/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/>
    </xf>
    <xf numFmtId="0" fontId="11" fillId="9" borderId="37" xfId="0" applyFont="1" applyFill="1" applyBorder="1" applyAlignment="1">
      <alignment horizontal="center" vertical="center"/>
    </xf>
    <xf numFmtId="0" fontId="11" fillId="9" borderId="38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10" borderId="42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wrapText="1"/>
    </xf>
    <xf numFmtId="0" fontId="2" fillId="0" borderId="0" xfId="0" applyFont="1" applyAlignment="1">
      <alignment horizontal="center" vertical="center"/>
    </xf>
    <xf numFmtId="0" fontId="12" fillId="12" borderId="42" xfId="0" applyFont="1" applyFill="1" applyBorder="1" applyAlignment="1">
      <alignment horizontal="center" vertical="center"/>
    </xf>
    <xf numFmtId="0" fontId="12" fillId="12" borderId="4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1" xfId="0" applyFont="1" applyBorder="1"/>
    <xf numFmtId="0" fontId="4" fillId="0" borderId="0" xfId="0" applyFont="1" applyAlignment="1">
      <alignment horizontal="right"/>
    </xf>
    <xf numFmtId="0" fontId="4" fillId="0" borderId="31" xfId="0" applyFont="1" applyBorder="1" applyAlignment="1">
      <alignment horizontal="right"/>
    </xf>
    <xf numFmtId="0" fontId="4" fillId="0" borderId="1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38100</xdr:colOff>
      <xdr:row>35</xdr:row>
      <xdr:rowOff>38100</xdr:rowOff>
    </xdr:from>
    <xdr:to>
      <xdr:col>15</xdr:col>
      <xdr:colOff>0</xdr:colOff>
      <xdr:row>54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32180" y="7343140"/>
          <a:ext cx="8445500" cy="337058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200" b="1" u="sng">
              <a:solidFill>
                <a:schemeClr val="dk1"/>
              </a:solidFill>
              <a:effectLst/>
              <a:latin typeface="Arial"/>
              <a:ea typeface="+mn-ea"/>
              <a:cs typeface="Arial"/>
            </a:rPr>
            <a:t>Plate Note</a:t>
          </a:r>
        </a:p>
        <a:p>
          <a:pPr lvl="0"/>
          <a:r>
            <a:rPr lang="en-US" sz="1200" b="1" u="none">
              <a:solidFill>
                <a:schemeClr val="dk1"/>
              </a:solidFill>
              <a:effectLst/>
              <a:latin typeface="Arial"/>
              <a:ea typeface="+mn-ea"/>
              <a:cs typeface="Arial"/>
            </a:rPr>
            <a:t>Any protocol exceptions, any oddities (splashed sample, air bubbles, etc)</a:t>
          </a:r>
        </a:p>
        <a:p>
          <a:pPr lvl="0"/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tabSelected="true" zoomScale="130" zoomScaleNormal="130" zoomScaleSheetLayoutView="50" workbookViewId="0">
      <selection activeCell="I18" sqref="I18"/>
    </sheetView>
  </sheetViews>
  <sheetFormatPr defaultRowHeight="15.0" baseColWidth="10"/>
  <cols>
    <col min="1" max="1" width="11.28515625" hidden="0" customWidth="1"/>
    <col min="2" max="2" width="26.42578125" hidden="0" customWidth="1"/>
    <col min="8" max="8" width="8.7109375" hidden="0" customWidth="1"/>
    <col min="9" max="9" width="21" hidden="0" customWidth="1"/>
    <col min="10" max="10" width="16.7109375" hidden="0" customWidth="1"/>
    <col min="11" max="11" width="6.42578125" hidden="0" customWidth="1"/>
    <col min="12" max="12" width="21.140625" hidden="0" customWidth="1"/>
    <col min="13" max="13" width="29.42578125" hidden="0" customWidth="1"/>
    <col min="14" max="14" width="5.140625" hidden="0" customWidth="1"/>
    <col min="15" max="15" width="7.7109375" hidden="0" customWidth="1"/>
  </cols>
  <sheetData>
    <row r="1" ht="21.95" customHeight="1">
      <c r="A1" s="6" t="s">
        <v>0</v>
      </c>
      <c r="B1" s="6"/>
      <c r="C1" s="6"/>
      <c r="D1" s="6"/>
      <c r="E1" s="6"/>
      <c r="F1" s="6"/>
      <c r="G1" s="6"/>
      <c r="H1" s="6"/>
      <c r="J1" s="22" t="s">
        <v>1</v>
      </c>
      <c r="L1" s="49" t="s">
        <v>2</v>
      </c>
      <c r="M1" s="50" t="s">
        <v>3</v>
      </c>
      <c r="N1" s="51" t="s">
        <v>4</v>
      </c>
      <c r="O1" s="52" t="s">
        <v>5</v>
      </c>
    </row>
    <row r="2" ht="21.95" customHeight="1">
      <c r="A2" s="47" t="s">
        <v>6</v>
      </c>
      <c r="B2" s="13" t="s">
        <v>7</v>
      </c>
      <c r="C2" s="9" t="s">
        <v>8</v>
      </c>
      <c r="D2" s="10"/>
      <c r="E2" s="10"/>
      <c r="F2" s="10"/>
      <c r="G2" s="10"/>
      <c r="H2" s="11"/>
      <c r="I2" s="72" t="n">
        <v>1</v>
      </c>
      <c r="J2" s="23" t="s">
        <v>9</v>
      </c>
      <c r="K2" s="12"/>
      <c r="L2" s="53" t="str">
        <f>J2</f>
        <v>22MB00150</v>
      </c>
      <c r="M2" s="34"/>
      <c r="N2" s="30" t="s">
        <v>10</v>
      </c>
      <c r="O2" s="54" t="n">
        <v>1</v>
      </c>
    </row>
    <row r="3" ht="21.95" customHeight="1">
      <c r="A3" s="47"/>
      <c r="B3" s="14"/>
      <c r="C3" s="9"/>
      <c r="D3" s="10"/>
      <c r="E3" s="10"/>
      <c r="F3" s="10"/>
      <c r="G3" s="10"/>
      <c r="H3" s="11"/>
      <c r="I3" s="72" t="n">
        <v>2</v>
      </c>
      <c r="J3" s="23" t="s">
        <v>11</v>
      </c>
      <c r="K3" s="12"/>
      <c r="L3" s="55" t="str">
        <f>J3</f>
        <v>22MB00151</v>
      </c>
      <c r="M3" s="35"/>
      <c r="N3" s="31" t="s">
        <v>10</v>
      </c>
      <c r="O3" s="56" t="n">
        <v>2</v>
      </c>
    </row>
    <row r="4" ht="21.95" customHeight="1">
      <c r="A4" s="47" t="s">
        <v>12</v>
      </c>
      <c r="B4" s="7"/>
      <c r="C4" s="9" t="s">
        <v>13</v>
      </c>
      <c r="D4" s="10"/>
      <c r="E4" s="10"/>
      <c r="F4" s="10"/>
      <c r="G4" s="10"/>
      <c r="H4" s="11"/>
      <c r="I4" s="72" t="n">
        <v>3</v>
      </c>
      <c r="J4" s="23" t="s">
        <v>14</v>
      </c>
      <c r="K4" s="12"/>
      <c r="L4" s="55" t="str">
        <f>J4</f>
        <v>22MB00152</v>
      </c>
      <c r="M4" s="35"/>
      <c r="N4" s="31" t="s">
        <v>10</v>
      </c>
      <c r="O4" s="56" t="n">
        <v>3</v>
      </c>
    </row>
    <row r="5" ht="21.95" customHeight="1">
      <c r="A5" s="47"/>
      <c r="B5" s="8"/>
      <c r="C5" s="9"/>
      <c r="D5" s="10"/>
      <c r="E5" s="10"/>
      <c r="F5" s="10"/>
      <c r="G5" s="10"/>
      <c r="H5" s="11"/>
      <c r="I5" s="72" t="n">
        <v>4</v>
      </c>
      <c r="J5" s="23" t="s">
        <v>15</v>
      </c>
      <c r="K5" s="12"/>
      <c r="L5" s="55" t="str">
        <f t="shared" ref="L5:L12" si="0">J5</f>
        <v>22MB00153</v>
      </c>
      <c r="M5" s="36"/>
      <c r="N5" s="31" t="s">
        <v>10</v>
      </c>
      <c r="O5" s="56" t="n">
        <v>4</v>
      </c>
    </row>
    <row r="6" ht="21.95" customHeight="1">
      <c r="A6" s="47" t="s">
        <v>16</v>
      </c>
      <c r="B6" s="15" t="s">
        <v>17</v>
      </c>
      <c r="C6" s="9" t="s">
        <v>18</v>
      </c>
      <c r="D6" s="10"/>
      <c r="E6" s="10"/>
      <c r="F6" s="10"/>
      <c r="G6" s="10"/>
      <c r="H6" s="11"/>
      <c r="I6" s="72" t="n">
        <v>5</v>
      </c>
      <c r="J6" s="23" t="s">
        <v>19</v>
      </c>
      <c r="K6" s="12"/>
      <c r="L6" s="55" t="str">
        <f>J6</f>
        <v>22MB00154</v>
      </c>
      <c r="M6" s="35"/>
      <c r="N6" s="31" t="s">
        <v>10</v>
      </c>
      <c r="O6" s="56" t="n">
        <v>5</v>
      </c>
    </row>
    <row r="7" ht="21.95" customHeight="1">
      <c r="A7" s="47"/>
      <c r="B7" s="16"/>
      <c r="C7" s="9"/>
      <c r="D7" s="10"/>
      <c r="E7" s="10"/>
      <c r="F7" s="10"/>
      <c r="G7" s="10"/>
      <c r="H7" s="11"/>
      <c r="I7" s="72" t="n">
        <v>6</v>
      </c>
      <c r="J7" s="23" t="s">
        <v>20</v>
      </c>
      <c r="K7" s="12"/>
      <c r="L7" s="55" t="str">
        <f>J7</f>
        <v>22MB00155</v>
      </c>
      <c r="M7" s="35"/>
      <c r="N7" s="31" t="s">
        <v>10</v>
      </c>
      <c r="O7" s="56" t="n">
        <v>6</v>
      </c>
    </row>
    <row r="8" ht="21.95" customHeight="1">
      <c r="A8" s="25"/>
      <c r="B8" s="17" t="str">
        <f>CONCATENATE("RNA-DNA_",$B$2,"_",$B$4,"_",B6)</f>
        <v>RNA-DNA_20241212__SNH</v>
      </c>
      <c r="C8" s="17"/>
      <c r="D8" s="17"/>
      <c r="E8" s="17"/>
      <c r="F8" s="17"/>
      <c r="G8" s="17"/>
      <c r="H8" s="18"/>
      <c r="I8" s="73" t="n">
        <v>7</v>
      </c>
      <c r="J8" s="23" t="s">
        <v>21</v>
      </c>
      <c r="K8" s="12"/>
      <c r="L8" s="55" t="str">
        <f t="shared" si="0"/>
        <v>22MB00156</v>
      </c>
      <c r="M8" s="35"/>
      <c r="N8" s="31" t="s">
        <v>10</v>
      </c>
      <c r="O8" s="56" t="n">
        <v>7</v>
      </c>
    </row>
    <row r="9" ht="21.95" customHeight="1">
      <c r="A9" s="25"/>
      <c r="B9" s="19"/>
      <c r="C9" s="19"/>
      <c r="D9" s="19"/>
      <c r="E9" s="19"/>
      <c r="F9" s="19"/>
      <c r="G9" s="19"/>
      <c r="H9" s="20"/>
      <c r="I9" s="72" t="n">
        <v>8</v>
      </c>
      <c r="J9" s="23" t="s">
        <v>22</v>
      </c>
      <c r="K9" s="12"/>
      <c r="L9" s="55" t="str">
        <f t="shared" si="0"/>
        <v>22MB00157</v>
      </c>
      <c r="M9" s="35"/>
      <c r="N9" s="31" t="s">
        <v>10</v>
      </c>
      <c r="O9" s="56" t="n">
        <v>8</v>
      </c>
    </row>
    <row r="10" ht="21.95" customHeight="1">
      <c r="A10" s="84" t="s">
        <v>23</v>
      </c>
      <c r="B10" s="24" t="s">
        <v>24</v>
      </c>
      <c r="C10" s="85"/>
      <c r="D10" s="85"/>
      <c r="E10" s="85"/>
      <c r="F10" s="85"/>
      <c r="G10" s="85"/>
      <c r="H10" s="86"/>
      <c r="I10" s="72" t="n">
        <v>9</v>
      </c>
      <c r="J10" s="23" t="s">
        <v>25</v>
      </c>
      <c r="K10" s="12"/>
      <c r="L10" s="55" t="str">
        <f t="shared" si="0"/>
        <v>22MB00158</v>
      </c>
      <c r="M10" s="35"/>
      <c r="N10" s="31" t="s">
        <v>10</v>
      </c>
      <c r="O10" s="56" t="n">
        <v>9</v>
      </c>
    </row>
    <row r="11" ht="21.95" customHeight="1">
      <c r="A11" s="84"/>
      <c r="B11" s="87"/>
      <c r="C11" s="88"/>
      <c r="D11" s="88"/>
      <c r="E11" s="88"/>
      <c r="F11" s="88"/>
      <c r="G11" s="88"/>
      <c r="H11" s="2"/>
      <c r="I11" s="72" t="n">
        <v>10</v>
      </c>
      <c r="J11" s="23" t="s">
        <v>26</v>
      </c>
      <c r="K11" s="12"/>
      <c r="L11" s="55" t="str">
        <f t="shared" si="0"/>
        <v>22MB00159</v>
      </c>
      <c r="M11" s="35"/>
      <c r="N11" s="31" t="s">
        <v>10</v>
      </c>
      <c r="O11" s="56" t="n">
        <v>10</v>
      </c>
    </row>
    <row r="12" ht="21.95" customHeight="1">
      <c r="A12" s="84"/>
      <c r="B12" s="87"/>
      <c r="C12" s="88"/>
      <c r="D12" s="88"/>
      <c r="E12" s="88"/>
      <c r="F12" s="88"/>
      <c r="G12" s="88"/>
      <c r="H12" s="2"/>
      <c r="I12" s="72" t="n">
        <v>11</v>
      </c>
      <c r="J12" s="23" t="s">
        <v>27</v>
      </c>
      <c r="K12" s="12"/>
      <c r="L12" s="55" t="str">
        <f t="shared" si="0"/>
        <v>22MB00160</v>
      </c>
      <c r="M12" s="35"/>
      <c r="N12" s="31" t="s">
        <v>10</v>
      </c>
      <c r="O12" s="56" t="n">
        <v>11</v>
      </c>
    </row>
    <row r="13" ht="21.95" customHeight="1">
      <c r="A13" s="84"/>
      <c r="B13" s="87"/>
      <c r="C13" s="88"/>
      <c r="D13" s="88"/>
      <c r="E13" s="88"/>
      <c r="F13" s="88"/>
      <c r="G13" s="88"/>
      <c r="H13" s="2"/>
      <c r="I13" s="72" t="n">
        <v>12</v>
      </c>
      <c r="J13" s="39" t="s">
        <v>28</v>
      </c>
      <c r="K13" s="12"/>
      <c r="L13" s="57" t="s">
        <v>29</v>
      </c>
      <c r="M13" s="37" t="s">
        <v>30</v>
      </c>
      <c r="N13" s="28" t="s">
        <v>10</v>
      </c>
      <c r="O13" s="58" t="n">
        <v>12</v>
      </c>
    </row>
    <row r="14" ht="21.95" customHeight="1">
      <c r="A14" s="84"/>
      <c r="B14" s="87"/>
      <c r="C14" s="88"/>
      <c r="D14" s="88"/>
      <c r="E14" s="88"/>
      <c r="F14" s="88"/>
      <c r="G14" s="88"/>
      <c r="H14" s="2"/>
      <c r="I14" s="72" t="n">
        <v>13</v>
      </c>
      <c r="J14" s="39" t="s">
        <v>31</v>
      </c>
      <c r="K14" s="21"/>
      <c r="L14" s="59" t="str">
        <f>J13</f>
        <v>23MB00201</v>
      </c>
      <c r="M14" s="38"/>
      <c r="N14" s="27" t="s">
        <v>32</v>
      </c>
      <c r="O14" s="60" t="n">
        <v>1</v>
      </c>
    </row>
    <row r="15" ht="21.95" customHeight="1">
      <c r="A15" s="84"/>
      <c r="B15" s="87"/>
      <c r="C15" s="88"/>
      <c r="D15" s="88"/>
      <c r="E15" s="88"/>
      <c r="F15" s="88"/>
      <c r="G15" s="88"/>
      <c r="H15" s="2"/>
      <c r="I15" s="72" t="n">
        <v>14</v>
      </c>
      <c r="J15" s="39" t="s">
        <v>33</v>
      </c>
      <c r="K15" s="21"/>
      <c r="L15" s="61" t="str">
        <f>J14</f>
        <v>23MB00202</v>
      </c>
      <c r="M15" s="40"/>
      <c r="N15" s="25" t="s">
        <v>32</v>
      </c>
      <c r="O15" s="62" t="n">
        <v>2</v>
      </c>
    </row>
    <row r="16" ht="21.95" customHeight="1">
      <c r="A16" s="84"/>
      <c r="B16" s="87"/>
      <c r="C16" s="88"/>
      <c r="D16" s="88"/>
      <c r="E16" s="88"/>
      <c r="F16" s="88"/>
      <c r="G16" s="88"/>
      <c r="H16" s="2"/>
      <c r="I16" s="72" t="n">
        <v>15</v>
      </c>
      <c r="J16" s="39" t="s">
        <v>34</v>
      </c>
      <c r="K16" s="21"/>
      <c r="L16" s="61" t="str">
        <f t="shared" ref="L16:L24" si="1">J15</f>
        <v>23MB00203</v>
      </c>
      <c r="M16" s="40"/>
      <c r="N16" s="25" t="s">
        <v>32</v>
      </c>
      <c r="O16" s="62" t="n">
        <v>3</v>
      </c>
    </row>
    <row r="17" ht="21.95" customHeight="1">
      <c r="A17" s="84"/>
      <c r="B17" s="87"/>
      <c r="C17" s="88"/>
      <c r="D17" s="88"/>
      <c r="E17" s="88"/>
      <c r="F17" s="88"/>
      <c r="G17" s="88"/>
      <c r="H17" s="2"/>
      <c r="I17" s="72" t="n">
        <v>16</v>
      </c>
      <c r="J17" s="39" t="s">
        <v>35</v>
      </c>
      <c r="K17" s="21"/>
      <c r="L17" s="61" t="str">
        <f t="shared" si="1"/>
        <v>23MB00204</v>
      </c>
      <c r="M17" s="40"/>
      <c r="N17" s="25" t="s">
        <v>32</v>
      </c>
      <c r="O17" s="62" t="n">
        <v>4</v>
      </c>
    </row>
    <row r="18" ht="21.95" customHeight="1">
      <c r="A18" s="84"/>
      <c r="B18" s="87"/>
      <c r="C18" s="88"/>
      <c r="D18" s="88"/>
      <c r="E18" s="88"/>
      <c r="F18" s="88"/>
      <c r="G18" s="88"/>
      <c r="H18" s="2"/>
      <c r="I18" s="72" t="n">
        <v>17</v>
      </c>
      <c r="J18" s="39" t="s">
        <v>36</v>
      </c>
      <c r="K18" s="21"/>
      <c r="L18" s="61" t="str">
        <f t="shared" si="1"/>
        <v>23MB00205</v>
      </c>
      <c r="M18" s="40"/>
      <c r="N18" s="25" t="s">
        <v>32</v>
      </c>
      <c r="O18" s="62" t="n">
        <v>5</v>
      </c>
    </row>
    <row r="19" ht="21.95" customHeight="1">
      <c r="A19" s="84"/>
      <c r="B19" s="87"/>
      <c r="C19" s="88"/>
      <c r="D19" s="88"/>
      <c r="E19" s="88"/>
      <c r="F19" s="88"/>
      <c r="G19" s="88"/>
      <c r="H19" s="2"/>
      <c r="I19" s="72" t="n">
        <v>18</v>
      </c>
      <c r="J19" s="39" t="s">
        <v>37</v>
      </c>
      <c r="K19" s="21"/>
      <c r="L19" s="61" t="str">
        <f t="shared" si="1"/>
        <v>23MB00206</v>
      </c>
      <c r="M19" s="40"/>
      <c r="N19" s="25" t="s">
        <v>32</v>
      </c>
      <c r="O19" s="62" t="n">
        <v>6</v>
      </c>
    </row>
    <row r="20" ht="21.95" customHeight="1">
      <c r="A20" s="84"/>
      <c r="B20" s="3"/>
      <c r="C20" s="4"/>
      <c r="D20" s="4"/>
      <c r="E20" s="4"/>
      <c r="F20" s="4"/>
      <c r="G20" s="4"/>
      <c r="H20" s="5"/>
      <c r="I20" s="72" t="n">
        <v>19</v>
      </c>
      <c r="J20" s="39" t="s">
        <v>38</v>
      </c>
      <c r="K20" s="21"/>
      <c r="L20" s="61" t="str">
        <f t="shared" si="1"/>
        <v>23MB00207</v>
      </c>
      <c r="M20" s="40"/>
      <c r="N20" s="25" t="s">
        <v>32</v>
      </c>
      <c r="O20" s="62" t="n">
        <v>7</v>
      </c>
    </row>
    <row r="21" ht="21.95" customHeight="1">
      <c r="A21" s="71"/>
      <c r="I21" s="72" t="n">
        <v>20</v>
      </c>
      <c r="J21" s="39" t="s">
        <v>39</v>
      </c>
      <c r="K21" s="21"/>
      <c r="L21" s="61" t="str">
        <f t="shared" si="1"/>
        <v>23MB00208</v>
      </c>
      <c r="M21" s="40"/>
      <c r="N21" s="25" t="s">
        <v>32</v>
      </c>
      <c r="O21" s="62" t="n">
        <v>8</v>
      </c>
    </row>
    <row r="22" ht="21.95" customHeight="1">
      <c r="A22" s="71"/>
      <c r="I22" s="72" t="n">
        <v>21</v>
      </c>
      <c r="J22" s="39" t="s">
        <v>40</v>
      </c>
      <c r="K22" s="21"/>
      <c r="L22" s="61" t="str">
        <f t="shared" si="1"/>
        <v>23MB00209</v>
      </c>
      <c r="M22" s="40"/>
      <c r="N22" s="25" t="s">
        <v>32</v>
      </c>
      <c r="O22" s="62" t="n">
        <v>9</v>
      </c>
    </row>
    <row r="23" ht="21.95" customHeight="1">
      <c r="A23" s="74" t="s">
        <v>41</v>
      </c>
      <c r="B23" s="75" t="s">
        <v>42</v>
      </c>
      <c r="C23" s="76"/>
      <c r="D23" s="76"/>
      <c r="E23" s="76"/>
      <c r="F23" s="76"/>
      <c r="G23" s="76"/>
      <c r="H23" s="77"/>
      <c r="I23" s="72" t="n">
        <v>22</v>
      </c>
      <c r="J23" s="39" t="s">
        <v>43</v>
      </c>
      <c r="K23" s="21"/>
      <c r="L23" s="61" t="str">
        <f>J22</f>
        <v>23MB00210</v>
      </c>
      <c r="M23" s="40"/>
      <c r="N23" s="25" t="s">
        <v>32</v>
      </c>
      <c r="O23" s="62" t="n">
        <v>10</v>
      </c>
    </row>
    <row r="24" ht="21.95" customHeight="1">
      <c r="A24" s="74"/>
      <c r="B24" s="78"/>
      <c r="C24" s="79"/>
      <c r="D24" s="79"/>
      <c r="E24" s="79"/>
      <c r="F24" s="79"/>
      <c r="G24" s="79"/>
      <c r="H24" s="80"/>
      <c r="I24" s="72" t="n">
        <v>23</v>
      </c>
      <c r="J24" s="39" t="s">
        <v>44</v>
      </c>
      <c r="K24" s="21"/>
      <c r="L24" s="61" t="str">
        <f t="shared" si="1"/>
        <v>23MB00211</v>
      </c>
      <c r="M24" s="40"/>
      <c r="N24" s="25" t="s">
        <v>32</v>
      </c>
      <c r="O24" s="62" t="n">
        <v>11</v>
      </c>
    </row>
    <row r="25" ht="21.95" customHeight="1">
      <c r="A25" s="74"/>
      <c r="B25" s="81"/>
      <c r="C25" s="82"/>
      <c r="D25" s="82"/>
      <c r="E25" s="82"/>
      <c r="F25" s="82"/>
      <c r="G25" s="82"/>
      <c r="H25" s="83"/>
      <c r="I25" s="72" t="n">
        <v>24</v>
      </c>
      <c r="J25" s="39" t="s">
        <v>45</v>
      </c>
      <c r="K25" s="21"/>
      <c r="L25" s="63" t="s">
        <v>46</v>
      </c>
      <c r="M25" s="41" t="s">
        <v>30</v>
      </c>
      <c r="N25" s="33" t="s">
        <v>32</v>
      </c>
      <c r="O25" s="64" t="n">
        <v>12</v>
      </c>
    </row>
    <row r="26" ht="21.95" customHeight="1">
      <c r="I26" s="72" t="n">
        <v>25</v>
      </c>
      <c r="J26" s="39" t="s">
        <v>47</v>
      </c>
      <c r="K26" s="21"/>
      <c r="L26" s="65" t="str">
        <f>J24</f>
        <v>23MB00212</v>
      </c>
      <c r="M26" s="42"/>
      <c r="N26" s="32" t="s">
        <v>48</v>
      </c>
      <c r="O26" s="66" t="n">
        <v>1</v>
      </c>
    </row>
    <row r="27" ht="21.95" customHeight="1">
      <c r="I27" s="72" t="n">
        <v>26</v>
      </c>
      <c r="J27" s="39" t="s">
        <v>49</v>
      </c>
      <c r="K27" s="21"/>
      <c r="L27" s="55" t="str">
        <f t="shared" ref="L27:L36" si="2">J25</f>
        <v>23MB00213</v>
      </c>
      <c r="M27" s="35"/>
      <c r="N27" s="31" t="s">
        <v>48</v>
      </c>
      <c r="O27" s="56" t="n">
        <v>2</v>
      </c>
    </row>
    <row r="28" ht="21.95" customHeight="1">
      <c r="I28" s="72" t="n">
        <v>27</v>
      </c>
      <c r="J28" s="39" t="s">
        <v>50</v>
      </c>
      <c r="K28" s="21"/>
      <c r="L28" s="55" t="str">
        <f t="shared" si="2"/>
        <v>23MB00214</v>
      </c>
      <c r="M28" s="35"/>
      <c r="N28" s="31" t="s">
        <v>48</v>
      </c>
      <c r="O28" s="56" t="n">
        <v>3</v>
      </c>
    </row>
    <row r="29" ht="21.95" customHeight="1">
      <c r="I29" s="72" t="n">
        <v>28</v>
      </c>
      <c r="J29" s="39" t="s">
        <v>51</v>
      </c>
      <c r="K29" s="21"/>
      <c r="L29" s="55" t="str">
        <f t="shared" si="2"/>
        <v>23MB00215</v>
      </c>
      <c r="M29" s="35"/>
      <c r="N29" s="31" t="s">
        <v>48</v>
      </c>
      <c r="O29" s="56" t="n">
        <v>4</v>
      </c>
    </row>
    <row r="30" ht="21.95" customHeight="1">
      <c r="I30" s="72" t="n">
        <v>29</v>
      </c>
      <c r="J30" s="39" t="s">
        <v>52</v>
      </c>
      <c r="K30" s="21"/>
      <c r="L30" s="55" t="str">
        <f t="shared" si="2"/>
        <v>23MB00216</v>
      </c>
      <c r="M30" s="35"/>
      <c r="N30" s="31" t="s">
        <v>48</v>
      </c>
      <c r="O30" s="56" t="n">
        <v>5</v>
      </c>
    </row>
    <row r="31" ht="21.95" customHeight="1">
      <c r="I31" s="72" t="n">
        <v>30</v>
      </c>
      <c r="J31" s="39" t="s">
        <v>53</v>
      </c>
      <c r="K31" s="21"/>
      <c r="L31" s="55" t="str">
        <f t="shared" si="2"/>
        <v>23MB00217</v>
      </c>
      <c r="M31" s="35"/>
      <c r="N31" s="31" t="s">
        <v>48</v>
      </c>
      <c r="O31" s="56" t="n">
        <v>6</v>
      </c>
    </row>
    <row r="32" ht="21.95" customHeight="1">
      <c r="I32" s="72" t="n">
        <v>31</v>
      </c>
      <c r="J32" s="39" t="s">
        <v>54</v>
      </c>
      <c r="K32" s="21"/>
      <c r="L32" s="55" t="str">
        <f t="shared" si="2"/>
        <v>23MB00218</v>
      </c>
      <c r="M32" s="35"/>
      <c r="N32" s="31" t="s">
        <v>48</v>
      </c>
      <c r="O32" s="56" t="n">
        <v>7</v>
      </c>
    </row>
    <row r="33" ht="21.95" customHeight="1">
      <c r="I33" s="72" t="n">
        <v>32</v>
      </c>
      <c r="J33" s="39" t="s">
        <v>55</v>
      </c>
      <c r="K33" s="21"/>
      <c r="L33" s="55" t="str">
        <f t="shared" si="2"/>
        <v>23MB00219</v>
      </c>
      <c r="M33" s="35"/>
      <c r="N33" s="31" t="s">
        <v>48</v>
      </c>
      <c r="O33" s="56" t="n">
        <v>8</v>
      </c>
    </row>
    <row r="34" ht="21.95" customHeight="1">
      <c r="I34" s="72" t="n">
        <v>33</v>
      </c>
      <c r="J34" s="39" t="s">
        <v>56</v>
      </c>
      <c r="K34" s="21"/>
      <c r="L34" s="55" t="str">
        <f t="shared" si="2"/>
        <v>23MB00220</v>
      </c>
      <c r="M34" s="35"/>
      <c r="N34" s="31" t="s">
        <v>48</v>
      </c>
      <c r="O34" s="56" t="n">
        <v>9</v>
      </c>
    </row>
    <row r="35" ht="21.95" customHeight="1">
      <c r="I35" s="72" t="n">
        <v>34</v>
      </c>
      <c r="J35" s="39" t="s">
        <v>57</v>
      </c>
      <c r="K35" s="21"/>
      <c r="L35" s="55" t="str">
        <f t="shared" si="2"/>
        <v>23MB00221</v>
      </c>
      <c r="M35" s="35"/>
      <c r="N35" s="31" t="s">
        <v>48</v>
      </c>
      <c r="O35" s="56" t="n">
        <v>10</v>
      </c>
    </row>
    <row r="36" ht="21.95" customHeight="1">
      <c r="I36" s="72" t="n">
        <v>35</v>
      </c>
      <c r="J36" s="39" t="s">
        <v>58</v>
      </c>
      <c r="K36" s="21"/>
      <c r="L36" s="55" t="str">
        <f t="shared" si="2"/>
        <v>23MB00222</v>
      </c>
      <c r="M36" s="35"/>
      <c r="N36" s="31" t="s">
        <v>48</v>
      </c>
      <c r="O36" s="56" t="n">
        <v>11</v>
      </c>
    </row>
    <row r="37" ht="21.95" customHeight="1">
      <c r="I37" s="72" t="n">
        <v>36</v>
      </c>
      <c r="J37" s="39" t="s">
        <v>59</v>
      </c>
      <c r="K37" s="21"/>
      <c r="L37" s="57" t="s">
        <v>60</v>
      </c>
      <c r="M37" s="37" t="s">
        <v>30</v>
      </c>
      <c r="N37" s="28" t="s">
        <v>48</v>
      </c>
      <c r="O37" s="58" t="n">
        <v>12</v>
      </c>
    </row>
    <row r="38" ht="21.95" customHeight="1">
      <c r="I38" s="72" t="n">
        <v>37</v>
      </c>
      <c r="J38" s="39" t="s">
        <v>61</v>
      </c>
      <c r="K38" s="21"/>
      <c r="L38" s="59" t="str">
        <f>J35</f>
        <v>23MB00223</v>
      </c>
      <c r="M38" s="38"/>
      <c r="N38" s="27" t="s">
        <v>62</v>
      </c>
      <c r="O38" s="60" t="n">
        <v>1</v>
      </c>
    </row>
    <row r="39" ht="21.95" customHeight="1">
      <c r="I39" s="72" t="n">
        <v>38</v>
      </c>
      <c r="J39" s="39" t="s">
        <v>63</v>
      </c>
      <c r="K39" s="21"/>
      <c r="L39" s="61" t="str">
        <f t="shared" ref="L39:L48" si="3">J36</f>
        <v>23MB00224</v>
      </c>
      <c r="M39" s="40"/>
      <c r="N39" s="25" t="s">
        <v>62</v>
      </c>
      <c r="O39" s="62" t="n">
        <v>2</v>
      </c>
    </row>
    <row r="40" ht="21.95" customHeight="1">
      <c r="I40" s="72" t="n">
        <v>39</v>
      </c>
      <c r="J40" s="39" t="s">
        <v>64</v>
      </c>
      <c r="K40" s="21"/>
      <c r="L40" s="61" t="str">
        <f t="shared" si="3"/>
        <v>23MB00225</v>
      </c>
      <c r="M40" s="40"/>
      <c r="N40" s="25" t="s">
        <v>62</v>
      </c>
      <c r="O40" s="62" t="n">
        <v>3</v>
      </c>
    </row>
    <row r="41" ht="21.95" customHeight="1">
      <c r="I41" s="72" t="n">
        <v>40</v>
      </c>
      <c r="J41" s="39" t="s">
        <v>65</v>
      </c>
      <c r="K41" s="21"/>
      <c r="L41" s="61" t="str">
        <f t="shared" si="3"/>
        <v>23MB00226</v>
      </c>
      <c r="M41" s="40"/>
      <c r="N41" s="25" t="s">
        <v>62</v>
      </c>
      <c r="O41" s="62" t="n">
        <v>4</v>
      </c>
    </row>
    <row r="42" ht="21.95" customHeight="1">
      <c r="I42" s="72" t="n">
        <v>41</v>
      </c>
      <c r="J42" s="39" t="s">
        <v>66</v>
      </c>
      <c r="K42" s="21"/>
      <c r="L42" s="61" t="str">
        <f t="shared" si="3"/>
        <v>23MB00227</v>
      </c>
      <c r="M42" s="40"/>
      <c r="N42" s="25" t="s">
        <v>62</v>
      </c>
      <c r="O42" s="62" t="n">
        <v>5</v>
      </c>
    </row>
    <row r="43" ht="21.95" customHeight="1">
      <c r="A43" s="48"/>
      <c r="I43" s="72" t="n">
        <v>42</v>
      </c>
      <c r="J43" s="39" t="s">
        <v>67</v>
      </c>
      <c r="K43" s="21"/>
      <c r="L43" s="61" t="str">
        <f>J40</f>
        <v>23MB00228</v>
      </c>
      <c r="M43" s="40"/>
      <c r="N43" s="25" t="s">
        <v>62</v>
      </c>
      <c r="O43" s="62" t="n">
        <v>6</v>
      </c>
    </row>
    <row r="44" ht="21.95" customHeight="1">
      <c r="A44" s="48"/>
      <c r="I44" s="72" t="n">
        <v>43</v>
      </c>
      <c r="J44" s="39" t="s">
        <v>68</v>
      </c>
      <c r="K44" s="21"/>
      <c r="L44" s="61" t="str">
        <f>J41</f>
        <v>23MB00229</v>
      </c>
      <c r="M44" s="40"/>
      <c r="N44" s="25" t="s">
        <v>62</v>
      </c>
      <c r="O44" s="62" t="n">
        <v>7</v>
      </c>
    </row>
    <row r="45" ht="21.95" customHeight="1">
      <c r="I45" s="72" t="n">
        <v>44</v>
      </c>
      <c r="J45" s="39" t="s">
        <v>69</v>
      </c>
      <c r="K45" s="21"/>
      <c r="L45" s="61" t="str">
        <f>J42</f>
        <v>23MB00230</v>
      </c>
      <c r="M45" s="40"/>
      <c r="N45" s="25" t="s">
        <v>62</v>
      </c>
      <c r="O45" s="62" t="n">
        <v>8</v>
      </c>
    </row>
    <row r="46" ht="21.95" customHeight="1">
      <c r="I46" s="72" t="n">
        <v>45</v>
      </c>
      <c r="J46" s="39" t="s">
        <v>70</v>
      </c>
      <c r="K46" s="21"/>
      <c r="L46" s="61" t="str">
        <f t="shared" si="3"/>
        <v>23MB00231</v>
      </c>
      <c r="M46" s="40"/>
      <c r="N46" s="25" t="s">
        <v>62</v>
      </c>
      <c r="O46" s="62" t="n">
        <v>9</v>
      </c>
    </row>
    <row r="47" ht="21.95" customHeight="1">
      <c r="I47" s="72" t="n">
        <v>46</v>
      </c>
      <c r="J47" s="39" t="s">
        <v>71</v>
      </c>
      <c r="K47" s="21"/>
      <c r="L47" s="61" t="str">
        <f t="shared" si="3"/>
        <v>23MB00232</v>
      </c>
      <c r="M47" s="40"/>
      <c r="N47" s="25" t="s">
        <v>62</v>
      </c>
      <c r="O47" s="62" t="n">
        <v>10</v>
      </c>
    </row>
    <row r="48" ht="21.95" customHeight="1">
      <c r="I48" s="72" t="n">
        <v>47</v>
      </c>
      <c r="J48" s="39" t="s">
        <v>72</v>
      </c>
      <c r="K48" s="21"/>
      <c r="L48" s="61" t="str">
        <f t="shared" si="3"/>
        <v>23MB00233</v>
      </c>
      <c r="M48" s="40"/>
      <c r="N48" s="25" t="s">
        <v>62</v>
      </c>
      <c r="O48" s="62" t="n">
        <v>11</v>
      </c>
    </row>
    <row r="49" ht="21.95" customHeight="1">
      <c r="I49" s="72" t="n">
        <v>48</v>
      </c>
      <c r="J49" s="39" t="s">
        <v>73</v>
      </c>
      <c r="K49" s="21"/>
      <c r="L49" s="63" t="s">
        <v>74</v>
      </c>
      <c r="M49" s="41" t="s">
        <v>30</v>
      </c>
      <c r="N49" s="33" t="s">
        <v>62</v>
      </c>
      <c r="O49" s="64" t="n">
        <v>12</v>
      </c>
    </row>
    <row r="50" ht="21.95" customHeight="1">
      <c r="I50" s="72" t="n">
        <v>49</v>
      </c>
      <c r="J50" s="39" t="s">
        <v>75</v>
      </c>
      <c r="K50" s="21"/>
      <c r="L50" s="65" t="str">
        <f>J46</f>
        <v>23MB00234</v>
      </c>
      <c r="M50" s="42"/>
      <c r="N50" s="32" t="s">
        <v>76</v>
      </c>
      <c r="O50" s="66" t="n">
        <v>1</v>
      </c>
    </row>
    <row r="51" ht="21.95" customHeight="1">
      <c r="I51" s="72" t="n">
        <v>50</v>
      </c>
      <c r="J51" s="39" t="s">
        <v>77</v>
      </c>
      <c r="K51" s="21"/>
      <c r="L51" s="55" t="str">
        <f t="shared" ref="L51:L60" si="4">J47</f>
        <v>23MB00235</v>
      </c>
      <c r="M51" s="35"/>
      <c r="N51" s="31" t="s">
        <v>76</v>
      </c>
      <c r="O51" s="56" t="n">
        <v>2</v>
      </c>
    </row>
    <row r="52" ht="21.95" customHeight="1">
      <c r="I52" s="72" t="n">
        <v>51</v>
      </c>
      <c r="J52" s="39" t="s">
        <v>78</v>
      </c>
      <c r="K52" s="21"/>
      <c r="L52" s="55" t="str">
        <f t="shared" si="4"/>
        <v>23MB00236</v>
      </c>
      <c r="M52" s="35"/>
      <c r="N52" s="31" t="s">
        <v>76</v>
      </c>
      <c r="O52" s="56" t="n">
        <v>3</v>
      </c>
    </row>
    <row r="53" ht="21.95" customHeight="1">
      <c r="I53" s="72" t="n">
        <v>52</v>
      </c>
      <c r="J53" s="39" t="s">
        <v>79</v>
      </c>
      <c r="K53" s="21"/>
      <c r="L53" s="55" t="str">
        <f t="shared" si="4"/>
        <v>23MB00237</v>
      </c>
      <c r="M53" s="35"/>
      <c r="N53" s="31" t="s">
        <v>76</v>
      </c>
      <c r="O53" s="56" t="n">
        <v>4</v>
      </c>
    </row>
    <row r="54" ht="21.95" customHeight="1">
      <c r="I54" s="72" t="n">
        <v>53</v>
      </c>
      <c r="J54" s="39" t="s">
        <v>80</v>
      </c>
      <c r="K54" s="21"/>
      <c r="L54" s="55" t="str">
        <f t="shared" si="4"/>
        <v>23MB00238</v>
      </c>
      <c r="M54" s="35"/>
      <c r="N54" s="31" t="s">
        <v>76</v>
      </c>
      <c r="O54" s="56" t="n">
        <v>5</v>
      </c>
    </row>
    <row r="55" ht="21.95" customHeight="1">
      <c r="I55" s="72" t="n">
        <v>54</v>
      </c>
      <c r="J55" s="39" t="s">
        <v>81</v>
      </c>
      <c r="K55" s="21"/>
      <c r="L55" s="55" t="str">
        <f t="shared" si="4"/>
        <v>23MB00239</v>
      </c>
      <c r="M55" s="35"/>
      <c r="N55" s="31" t="s">
        <v>76</v>
      </c>
      <c r="O55" s="56" t="n">
        <v>6</v>
      </c>
    </row>
    <row r="56" ht="21.95" customHeight="1">
      <c r="I56" s="72" t="n">
        <v>55</v>
      </c>
      <c r="J56" s="39" t="s">
        <v>82</v>
      </c>
      <c r="K56" s="21"/>
      <c r="L56" s="55" t="str">
        <f t="shared" si="4"/>
        <v>23MB00240</v>
      </c>
      <c r="M56" s="35"/>
      <c r="N56" s="31" t="s">
        <v>76</v>
      </c>
      <c r="O56" s="56" t="n">
        <v>7</v>
      </c>
    </row>
    <row r="57" ht="21.95" customHeight="1">
      <c r="I57" s="72" t="n">
        <v>56</v>
      </c>
      <c r="J57" s="39" t="s">
        <v>83</v>
      </c>
      <c r="K57" s="21"/>
      <c r="L57" s="55" t="str">
        <f t="shared" si="4"/>
        <v>23MB00241</v>
      </c>
      <c r="M57" s="35"/>
      <c r="N57" s="31" t="s">
        <v>76</v>
      </c>
      <c r="O57" s="56" t="n">
        <v>8</v>
      </c>
    </row>
    <row r="58" ht="21.95" customHeight="1">
      <c r="I58" s="72" t="n">
        <v>57</v>
      </c>
      <c r="J58" s="39" t="s">
        <v>84</v>
      </c>
      <c r="K58" s="21"/>
      <c r="L58" s="55" t="str">
        <f t="shared" si="4"/>
        <v>23MB00242</v>
      </c>
      <c r="M58" s="35"/>
      <c r="N58" s="31" t="s">
        <v>76</v>
      </c>
      <c r="O58" s="56" t="n">
        <v>9</v>
      </c>
    </row>
    <row r="59" ht="21.95" customHeight="1">
      <c r="I59" s="72" t="n">
        <v>58</v>
      </c>
      <c r="J59" s="39" t="s">
        <v>85</v>
      </c>
      <c r="K59" s="21"/>
      <c r="L59" s="55" t="str">
        <f t="shared" si="4"/>
        <v>23MB00243</v>
      </c>
      <c r="M59" s="35"/>
      <c r="N59" s="31" t="s">
        <v>76</v>
      </c>
      <c r="O59" s="56" t="n">
        <v>10</v>
      </c>
    </row>
    <row r="60" ht="21.95" customHeight="1">
      <c r="I60" s="72" t="n">
        <v>59</v>
      </c>
      <c r="J60" s="39" t="s">
        <v>86</v>
      </c>
      <c r="K60" s="21"/>
      <c r="L60" s="55" t="str">
        <f t="shared" si="4"/>
        <v>23MB00244</v>
      </c>
      <c r="M60" s="35"/>
      <c r="N60" s="31" t="s">
        <v>76</v>
      </c>
      <c r="O60" s="56" t="n">
        <v>11</v>
      </c>
    </row>
    <row r="61" ht="21.95" customHeight="1">
      <c r="I61" s="72" t="n">
        <v>60</v>
      </c>
      <c r="J61" s="39" t="s">
        <v>87</v>
      </c>
      <c r="K61" s="21"/>
      <c r="L61" s="55" t="s">
        <v>88</v>
      </c>
      <c r="M61" s="37" t="s">
        <v>30</v>
      </c>
      <c r="N61" s="28" t="s">
        <v>76</v>
      </c>
      <c r="O61" s="58" t="n">
        <v>12</v>
      </c>
    </row>
    <row r="62" ht="21.95" customHeight="1">
      <c r="I62" s="72" t="n">
        <v>61</v>
      </c>
      <c r="J62" s="39" t="s">
        <v>89</v>
      </c>
      <c r="K62" s="21"/>
      <c r="L62" s="59" t="str">
        <f>J57</f>
        <v>23MB00245</v>
      </c>
      <c r="M62" s="38"/>
      <c r="N62" s="27" t="s">
        <v>90</v>
      </c>
      <c r="O62" s="60" t="n">
        <v>1</v>
      </c>
    </row>
    <row r="63" ht="21.95" customHeight="1">
      <c r="I63" s="72" t="n">
        <v>62</v>
      </c>
      <c r="J63" s="39" t="s">
        <v>91</v>
      </c>
      <c r="K63" s="21"/>
      <c r="L63" s="61" t="str">
        <f t="shared" ref="L63:L72" si="5">J58</f>
        <v>23MB00246</v>
      </c>
      <c r="M63" s="40"/>
      <c r="N63" s="25" t="s">
        <v>90</v>
      </c>
      <c r="O63" s="62" t="n">
        <v>2</v>
      </c>
    </row>
    <row r="64" ht="21.95" customHeight="1">
      <c r="I64" s="72" t="n">
        <v>63</v>
      </c>
      <c r="J64" s="39" t="s">
        <v>92</v>
      </c>
      <c r="K64" s="21"/>
      <c r="L64" s="61" t="str">
        <f t="shared" si="5"/>
        <v>23MB00247</v>
      </c>
      <c r="M64" s="40"/>
      <c r="N64" s="25" t="s">
        <v>90</v>
      </c>
      <c r="O64" s="62" t="n">
        <v>3</v>
      </c>
    </row>
    <row r="65" ht="21.95" customHeight="1">
      <c r="I65" s="72" t="n">
        <v>64</v>
      </c>
      <c r="J65" s="39" t="s">
        <v>93</v>
      </c>
      <c r="K65" s="21"/>
      <c r="L65" s="61" t="str">
        <f t="shared" si="5"/>
        <v>23MB00248</v>
      </c>
      <c r="M65" s="40"/>
      <c r="N65" s="25" t="s">
        <v>90</v>
      </c>
      <c r="O65" s="62" t="n">
        <v>4</v>
      </c>
    </row>
    <row r="66" ht="21.95" customHeight="1">
      <c r="I66" s="72" t="n">
        <v>65</v>
      </c>
      <c r="J66" s="39" t="s">
        <v>94</v>
      </c>
      <c r="K66" s="21"/>
      <c r="L66" s="61" t="str">
        <f t="shared" si="5"/>
        <v>23MB00249</v>
      </c>
      <c r="M66" s="40"/>
      <c r="N66" s="25" t="s">
        <v>90</v>
      </c>
      <c r="O66" s="62" t="n">
        <v>5</v>
      </c>
    </row>
    <row r="67" ht="21.95" customHeight="1">
      <c r="I67" s="72" t="n">
        <v>66</v>
      </c>
      <c r="J67" s="39" t="s">
        <v>95</v>
      </c>
      <c r="K67" s="21"/>
      <c r="L67" s="61" t="str">
        <f t="shared" si="5"/>
        <v>23MB00250</v>
      </c>
      <c r="M67" s="40"/>
      <c r="N67" s="25" t="s">
        <v>90</v>
      </c>
      <c r="O67" s="62" t="n">
        <v>6</v>
      </c>
    </row>
    <row r="68" ht="21.95" customHeight="1">
      <c r="I68" s="72" t="n">
        <v>67</v>
      </c>
      <c r="J68" s="39" t="s">
        <v>96</v>
      </c>
      <c r="K68" s="21"/>
      <c r="L68" s="61" t="str">
        <f t="shared" si="5"/>
        <v>23MB00251</v>
      </c>
      <c r="M68" s="40"/>
      <c r="N68" s="25" t="s">
        <v>90</v>
      </c>
      <c r="O68" s="62" t="n">
        <v>7</v>
      </c>
    </row>
    <row r="69" ht="21.95" customHeight="1">
      <c r="I69" s="72" t="n">
        <v>68</v>
      </c>
      <c r="J69" s="39" t="s">
        <v>97</v>
      </c>
      <c r="K69" s="21"/>
      <c r="L69" s="61" t="str">
        <f t="shared" si="5"/>
        <v>23MB00252</v>
      </c>
      <c r="M69" s="40"/>
      <c r="N69" s="25" t="s">
        <v>90</v>
      </c>
      <c r="O69" s="62" t="n">
        <v>8</v>
      </c>
    </row>
    <row r="70" ht="21.95" customHeight="1">
      <c r="I70" s="72" t="n">
        <v>69</v>
      </c>
      <c r="J70" s="39" t="s">
        <v>98</v>
      </c>
      <c r="K70" s="21"/>
      <c r="L70" s="61" t="str">
        <f t="shared" si="5"/>
        <v>23MB00253</v>
      </c>
      <c r="M70" s="40"/>
      <c r="N70" s="25" t="s">
        <v>90</v>
      </c>
      <c r="O70" s="62" t="n">
        <v>9</v>
      </c>
    </row>
    <row r="71" ht="21.95" customHeight="1">
      <c r="I71" s="72" t="n">
        <v>70</v>
      </c>
      <c r="J71" s="39" t="s">
        <v>99</v>
      </c>
      <c r="K71" s="21"/>
      <c r="L71" s="61" t="str">
        <f t="shared" si="5"/>
        <v>23MB00254</v>
      </c>
      <c r="M71" s="40"/>
      <c r="N71" s="25" t="s">
        <v>90</v>
      </c>
      <c r="O71" s="62" t="n">
        <v>10</v>
      </c>
    </row>
    <row r="72" ht="21.95" customHeight="1">
      <c r="I72" s="72" t="n">
        <v>71</v>
      </c>
      <c r="J72" s="39" t="s">
        <v>100</v>
      </c>
      <c r="K72" s="21"/>
      <c r="L72" s="61" t="str">
        <f t="shared" si="5"/>
        <v>23MB00255</v>
      </c>
      <c r="M72" s="40"/>
      <c r="N72" s="25" t="s">
        <v>90</v>
      </c>
      <c r="O72" s="62" t="n">
        <v>11</v>
      </c>
    </row>
    <row r="73" ht="21.95" customHeight="1">
      <c r="I73" s="72" t="n">
        <v>72</v>
      </c>
      <c r="J73" s="39" t="s">
        <v>101</v>
      </c>
      <c r="K73" s="21"/>
      <c r="L73" s="63" t="s">
        <v>102</v>
      </c>
      <c r="M73" s="41" t="s">
        <v>30</v>
      </c>
      <c r="N73" s="33" t="s">
        <v>90</v>
      </c>
      <c r="O73" s="64" t="n">
        <v>12</v>
      </c>
    </row>
    <row r="74" ht="21.95" customHeight="1">
      <c r="I74" s="72" t="n">
        <v>73</v>
      </c>
      <c r="J74" s="39" t="s">
        <v>103</v>
      </c>
      <c r="K74" s="21"/>
      <c r="L74" s="65" t="str">
        <f>J68</f>
        <v>23MB00256</v>
      </c>
      <c r="M74" s="42"/>
      <c r="N74" s="32" t="s">
        <v>104</v>
      </c>
      <c r="O74" s="66" t="n">
        <v>1</v>
      </c>
    </row>
    <row r="75" ht="21.95" customHeight="1">
      <c r="I75" s="72" t="n">
        <v>74</v>
      </c>
      <c r="J75" s="39" t="s">
        <v>105</v>
      </c>
      <c r="K75" s="21"/>
      <c r="L75" s="55" t="str">
        <f t="shared" ref="L75:L84" si="6">J69</f>
        <v>23MB00257</v>
      </c>
      <c r="M75" s="35"/>
      <c r="N75" s="31" t="s">
        <v>104</v>
      </c>
      <c r="O75" s="56" t="n">
        <v>2</v>
      </c>
    </row>
    <row r="76" ht="21.95" customHeight="1">
      <c r="I76" s="72" t="n">
        <v>75</v>
      </c>
      <c r="J76" s="39" t="s">
        <v>106</v>
      </c>
      <c r="K76" s="21"/>
      <c r="L76" s="55" t="str">
        <f t="shared" si="6"/>
        <v>23MB00258</v>
      </c>
      <c r="M76" s="35"/>
      <c r="N76" s="31" t="s">
        <v>104</v>
      </c>
      <c r="O76" s="56" t="n">
        <v>3</v>
      </c>
    </row>
    <row r="77" ht="21.95" customHeight="1">
      <c r="I77" s="72" t="n">
        <v>76</v>
      </c>
      <c r="J77" s="39" t="s">
        <v>107</v>
      </c>
      <c r="K77" s="21"/>
      <c r="L77" s="55" t="str">
        <f t="shared" si="6"/>
        <v>23MB00259</v>
      </c>
      <c r="M77" s="35"/>
      <c r="N77" s="31" t="s">
        <v>104</v>
      </c>
      <c r="O77" s="56" t="n">
        <v>4</v>
      </c>
    </row>
    <row r="78" ht="21.95" customHeight="1">
      <c r="I78" s="72" t="n">
        <v>77</v>
      </c>
      <c r="J78" s="39" t="s">
        <v>108</v>
      </c>
      <c r="K78" s="21"/>
      <c r="L78" s="55" t="str">
        <f t="shared" si="6"/>
        <v>23MB00260</v>
      </c>
      <c r="M78" s="35"/>
      <c r="N78" s="31" t="s">
        <v>104</v>
      </c>
      <c r="O78" s="56" t="n">
        <v>5</v>
      </c>
    </row>
    <row r="79" ht="21.95" customHeight="1">
      <c r="I79" s="72" t="n">
        <v>78</v>
      </c>
      <c r="J79" s="39" t="s">
        <v>109</v>
      </c>
      <c r="K79" s="21"/>
      <c r="L79" s="55" t="str">
        <f t="shared" si="6"/>
        <v>23MB00261</v>
      </c>
      <c r="M79" s="35"/>
      <c r="N79" s="31" t="s">
        <v>104</v>
      </c>
      <c r="O79" s="56" t="n">
        <v>6</v>
      </c>
    </row>
    <row r="80" ht="21.95" customHeight="1">
      <c r="I80" s="72" t="n">
        <v>79</v>
      </c>
      <c r="J80" s="39" t="s">
        <v>110</v>
      </c>
      <c r="K80" s="21"/>
      <c r="L80" s="55" t="str">
        <f t="shared" si="6"/>
        <v>23MB00262</v>
      </c>
      <c r="M80" s="35"/>
      <c r="N80" s="31" t="s">
        <v>104</v>
      </c>
      <c r="O80" s="56" t="n">
        <v>7</v>
      </c>
    </row>
    <row r="81" ht="21.95" customHeight="1">
      <c r="I81" s="72" t="n">
        <v>80</v>
      </c>
      <c r="J81" s="39" t="s">
        <v>111</v>
      </c>
      <c r="K81" s="21"/>
      <c r="L81" s="55" t="str">
        <f t="shared" si="6"/>
        <v>23MB00263</v>
      </c>
      <c r="M81" s="35"/>
      <c r="N81" s="31" t="s">
        <v>104</v>
      </c>
      <c r="O81" s="56" t="n">
        <v>8</v>
      </c>
    </row>
    <row r="82" ht="21.95" customHeight="1">
      <c r="I82" s="72" t="n">
        <v>81</v>
      </c>
      <c r="J82" s="39" t="s">
        <v>112</v>
      </c>
      <c r="K82" s="21"/>
      <c r="L82" s="55" t="str">
        <f t="shared" si="6"/>
        <v>23MB00264</v>
      </c>
      <c r="M82" s="35"/>
      <c r="N82" s="31" t="s">
        <v>104</v>
      </c>
      <c r="O82" s="56" t="n">
        <v>9</v>
      </c>
    </row>
    <row r="83" ht="21.95" customHeight="1">
      <c r="I83" s="72" t="n">
        <v>82</v>
      </c>
      <c r="J83" s="39" t="s">
        <v>113</v>
      </c>
      <c r="K83" s="21"/>
      <c r="L83" s="55" t="str">
        <f t="shared" si="6"/>
        <v>23MB00265</v>
      </c>
      <c r="M83" s="35"/>
      <c r="N83" s="31" t="s">
        <v>104</v>
      </c>
      <c r="O83" s="56" t="n">
        <v>10</v>
      </c>
    </row>
    <row r="84" ht="21.95" customHeight="1">
      <c r="I84" s="72" t="n">
        <v>83</v>
      </c>
      <c r="J84" s="39" t="s">
        <v>114</v>
      </c>
      <c r="K84" s="21"/>
      <c r="L84" s="55" t="str">
        <f t="shared" si="6"/>
        <v>23MB00266</v>
      </c>
      <c r="M84" s="35"/>
      <c r="N84" s="31" t="s">
        <v>104</v>
      </c>
      <c r="O84" s="56" t="n">
        <v>11</v>
      </c>
    </row>
    <row r="85" ht="21.95" customHeight="1">
      <c r="I85" s="72" t="n">
        <v>84</v>
      </c>
      <c r="J85" s="39" t="s">
        <v>115</v>
      </c>
      <c r="K85" s="21"/>
      <c r="L85" s="69" t="s">
        <v>116</v>
      </c>
      <c r="M85" s="45" t="s">
        <v>117</v>
      </c>
      <c r="N85" s="46" t="s">
        <v>104</v>
      </c>
      <c r="O85" s="70" t="n">
        <v>12</v>
      </c>
    </row>
    <row r="86" ht="21.95" customHeight="1">
      <c r="I86" s="72" t="n">
        <v>85</v>
      </c>
      <c r="J86" s="39" t="s">
        <v>118</v>
      </c>
      <c r="K86" s="12"/>
      <c r="L86" s="67" t="str">
        <f>J79</f>
        <v>23MB00267</v>
      </c>
      <c r="M86" s="43"/>
      <c r="N86" s="26" t="s">
        <v>119</v>
      </c>
      <c r="O86" s="68" t="n">
        <v>1</v>
      </c>
    </row>
    <row r="87" ht="21.95" customHeight="1">
      <c r="I87" s="72" t="n">
        <v>86</v>
      </c>
      <c r="J87" s="39" t="s">
        <v>120</v>
      </c>
      <c r="K87" s="12"/>
      <c r="L87" s="61" t="str">
        <f>J80</f>
        <v>23MB00268</v>
      </c>
      <c r="M87" s="40"/>
      <c r="N87" s="25" t="s">
        <v>119</v>
      </c>
      <c r="O87" s="62" t="n">
        <v>2</v>
      </c>
    </row>
    <row r="88" ht="21.95" customHeight="1">
      <c r="I88" s="72" t="n">
        <v>87</v>
      </c>
      <c r="J88" s="39" t="s">
        <v>121</v>
      </c>
      <c r="K88" s="12"/>
      <c r="L88" s="61" t="str">
        <f t="shared" ref="L88:L92" si="7">J81</f>
        <v>23MB00269</v>
      </c>
      <c r="M88" s="40"/>
      <c r="N88" s="25" t="s">
        <v>119</v>
      </c>
      <c r="O88" s="62" t="n">
        <v>3</v>
      </c>
    </row>
    <row r="89" ht="21.95" customHeight="1">
      <c r="I89" s="72" t="n">
        <v>88</v>
      </c>
      <c r="J89" s="39" t="s">
        <v>122</v>
      </c>
      <c r="K89" s="29"/>
      <c r="L89" s="61" t="str">
        <f t="shared" si="7"/>
        <v>23MB00270</v>
      </c>
      <c r="M89" s="40"/>
      <c r="N89" s="25" t="s">
        <v>119</v>
      </c>
      <c r="O89" s="62" t="n">
        <v>4</v>
      </c>
    </row>
    <row r="90" ht="21.95" customHeight="1">
      <c r="I90" s="72"/>
      <c r="J90" s="1"/>
      <c r="K90" s="29"/>
      <c r="L90" s="61" t="str">
        <f t="shared" si="7"/>
        <v>23MB00271</v>
      </c>
      <c r="M90" s="40"/>
      <c r="N90" s="25" t="s">
        <v>119</v>
      </c>
      <c r="O90" s="62" t="n">
        <v>5</v>
      </c>
    </row>
    <row r="91" ht="21.95" customHeight="1">
      <c r="J91" s="1"/>
      <c r="K91" s="29"/>
      <c r="L91" s="61" t="str">
        <f t="shared" si="7"/>
        <v>23MB00272</v>
      </c>
      <c r="M91" s="40"/>
      <c r="N91" s="25" t="s">
        <v>119</v>
      </c>
      <c r="O91" s="62" t="n">
        <v>6</v>
      </c>
    </row>
    <row r="92" ht="21.95" customHeight="1">
      <c r="J92" s="1"/>
      <c r="K92" s="29"/>
      <c r="L92" s="61" t="str">
        <f t="shared" si="7"/>
        <v>23MB00273</v>
      </c>
      <c r="M92" s="40"/>
      <c r="N92" s="25" t="s">
        <v>119</v>
      </c>
      <c r="O92" s="62" t="n">
        <v>7</v>
      </c>
    </row>
    <row r="93" ht="21.95" customHeight="1">
      <c r="J93" s="29"/>
      <c r="K93" s="29"/>
      <c r="L93" s="61" t="str">
        <f>J86</f>
        <v>23MB00274</v>
      </c>
      <c r="M93" s="40"/>
      <c r="N93" s="25" t="s">
        <v>119</v>
      </c>
      <c r="O93" s="62" t="n">
        <v>8</v>
      </c>
    </row>
    <row r="94" ht="21.95" customHeight="1">
      <c r="J94" s="29"/>
      <c r="K94" s="29"/>
      <c r="L94" s="61" t="str">
        <f>J87</f>
        <v>23MB00275</v>
      </c>
      <c r="M94" s="40"/>
      <c r="N94" s="25" t="s">
        <v>119</v>
      </c>
      <c r="O94" s="62" t="n">
        <v>9</v>
      </c>
    </row>
    <row r="95" ht="21.95" customHeight="1">
      <c r="J95" s="29"/>
      <c r="K95" s="29"/>
      <c r="L95" s="61" t="str">
        <f t="shared" ref="L95:L96" si="8">J88</f>
        <v>23MB00276</v>
      </c>
      <c r="M95" s="40"/>
      <c r="N95" s="25" t="s">
        <v>119</v>
      </c>
      <c r="O95" s="62" t="n">
        <v>10</v>
      </c>
    </row>
    <row r="96" ht="21.95" customHeight="1">
      <c r="J96" s="29"/>
      <c r="K96" s="29"/>
      <c r="L96" s="61" t="str">
        <f t="shared" si="8"/>
        <v>23MB00277</v>
      </c>
      <c r="M96" s="40"/>
      <c r="N96" s="25" t="s">
        <v>119</v>
      </c>
      <c r="O96" s="62" t="n">
        <v>11</v>
      </c>
    </row>
    <row r="97" ht="21.95" customHeight="1">
      <c r="J97" s="29"/>
      <c r="K97" s="29"/>
      <c r="L97" s="69" t="s">
        <v>116</v>
      </c>
      <c r="M97" s="45" t="s">
        <v>123</v>
      </c>
      <c r="N97" s="46" t="s">
        <v>119</v>
      </c>
      <c r="O97" s="70" t="n">
        <v>12</v>
      </c>
    </row>
    <row r="98">
      <c r="J98" s="29"/>
      <c r="K98" s="29"/>
    </row>
    <row r="99">
      <c r="J99" s="29"/>
      <c r="K99" s="29"/>
    </row>
    <row r="100">
      <c r="J100" s="29"/>
      <c r="K100" s="29"/>
      <c r="M100" s="44"/>
    </row>
    <row r="101">
      <c r="J101" s="29"/>
      <c r="K101" s="29"/>
      <c r="M101" s="44"/>
    </row>
    <row r="102">
      <c r="K102" s="29"/>
      <c r="M102" s="44"/>
    </row>
    <row r="103">
      <c r="K103" s="29"/>
      <c r="M103" s="44"/>
    </row>
    <row r="104">
      <c r="M104" s="44"/>
    </row>
    <row r="105">
      <c r="M105" s="44"/>
    </row>
    <row r="107">
      <c r="M107" s="44"/>
    </row>
    <row r="108">
      <c r="M108" s="44"/>
    </row>
    <row r="109">
      <c r="M109" s="44"/>
    </row>
    <row r="111">
      <c r="M111" s="44"/>
    </row>
    <row r="112">
      <c r="M112" s="44"/>
    </row>
    <row r="113">
      <c r="M113" s="44"/>
    </row>
    <row r="115">
      <c r="M115" s="44"/>
    </row>
    <row r="116">
      <c r="M116" s="44"/>
    </row>
  </sheetData>
  <mergeCells count="12">
    <mergeCell ref="A23:A25"/>
    <mergeCell ref="B23:H25"/>
    <mergeCell ref="A10:A20"/>
    <mergeCell ref="B10:H20"/>
    <mergeCell ref="A1:H1"/>
    <mergeCell ref="B4:B5"/>
    <mergeCell ref="C4:H5"/>
    <mergeCell ref="B2:B3"/>
    <mergeCell ref="C2:H3"/>
    <mergeCell ref="B6:B7"/>
    <mergeCell ref="C6:H7"/>
    <mergeCell ref="B8:H9"/>
  </mergeCells>
  <pageMargins left="0.25" right="0.25" top="0.75" bottom="0.75" header="0.3" footer="0.3"/>
  <pageSetup scale="43" firstPageNumber="0" fitToHeight="0" orientation="portrait" r:id="rId2"/>
  <headerFooter differentOddEven="0" differentFirst="0" scaleWithDoc="0" alignWithMargins="0">
    <oddHeader>&amp;L&amp;C&amp;"Arial,Bold"&amp;24VIRAL RNA EXTRACTION&amp;R</oddHeader>
    <oddFooter>&amp;L&amp;"Times New Roman,Regular"&amp;12&amp;F&amp;C&amp;"Times New Roman,Regular"&amp;12&amp;D&amp;R&amp;"Times New Roman,Regular"&amp;12page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>
      <selection activeCell="S20" sqref="S20"/>
    </sheetView>
  </sheetViews>
  <sheetFormatPr defaultRowHeight="15.0" baseColWidth="10"/>
  <cols>
    <col min="1" max="1" width="13" hidden="0" customWidth="1"/>
    <col min="13" max="13" width="10.140625" hidden="0" customWidth="1"/>
  </cols>
  <sheetData>
    <row r="1" ht="18.95" customHeight="1">
      <c r="A1" s="109" t="s">
        <v>124</v>
      </c>
      <c r="B1" s="109"/>
      <c r="C1" s="109"/>
      <c r="D1" s="109"/>
      <c r="E1" s="109"/>
      <c r="F1" s="109"/>
      <c r="G1" s="109"/>
      <c r="H1" s="6"/>
    </row>
    <row r="2" ht="18.75" customHeight="1">
      <c r="A2" s="122" t="s">
        <v>6</v>
      </c>
      <c r="B2" s="110"/>
      <c r="C2" s="111"/>
      <c r="D2" s="146"/>
      <c r="E2" s="146"/>
      <c r="F2" s="146"/>
      <c r="G2" s="146"/>
      <c r="H2" s="149"/>
    </row>
    <row r="3" ht="18.75" customHeight="1">
      <c r="A3" s="122"/>
      <c r="B3" s="112"/>
      <c r="C3" s="113"/>
      <c r="D3" s="146"/>
      <c r="E3" s="146"/>
      <c r="F3" s="146"/>
      <c r="G3" s="146"/>
      <c r="H3" s="149"/>
    </row>
    <row r="4" ht="15.75" customHeight="1">
      <c r="A4" s="122" t="s">
        <v>125</v>
      </c>
      <c r="B4" s="114" t="str">
        <f>CONCATENATE("RTPCR_",Extraction!$B$2,"_",Extraction!$B$4)</f>
        <v>RTPCR_20241212_</v>
      </c>
      <c r="C4" s="115"/>
      <c r="D4" s="115"/>
      <c r="E4" s="115"/>
      <c r="F4" s="115"/>
      <c r="G4" s="115"/>
      <c r="H4" s="116"/>
    </row>
    <row r="5" ht="15.75" customHeight="1">
      <c r="A5" s="122"/>
      <c r="B5" s="117"/>
      <c r="C5" s="118"/>
      <c r="D5" s="118"/>
      <c r="E5" s="118"/>
      <c r="F5" s="118"/>
      <c r="G5" s="118"/>
      <c r="H5" s="119"/>
    </row>
    <row r="6" ht="15.75" customHeight="1">
      <c r="A6" s="122" t="s">
        <v>16</v>
      </c>
      <c r="B6" s="120"/>
      <c r="C6" s="121"/>
      <c r="D6" s="131"/>
      <c r="E6" s="131"/>
      <c r="F6" s="131"/>
      <c r="G6" s="131"/>
      <c r="H6" s="130"/>
    </row>
    <row r="7" ht="15.75" customHeight="1">
      <c r="A7" s="122"/>
      <c r="B7" s="123"/>
      <c r="C7" s="124"/>
      <c r="D7" s="131"/>
      <c r="E7" s="131"/>
      <c r="F7" s="131"/>
      <c r="G7" s="131"/>
      <c r="H7" s="130"/>
    </row>
    <row r="8" ht="1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</row>
    <row r="9" ht="17.100000000000001" customHeight="1">
      <c r="A9" s="136"/>
      <c r="B9" s="132" t="n">
        <v>1</v>
      </c>
      <c r="C9" s="132" t="n">
        <v>2</v>
      </c>
      <c r="D9" s="132" t="n">
        <v>3</v>
      </c>
      <c r="E9" s="132" t="n">
        <v>4</v>
      </c>
      <c r="F9" s="132" t="n">
        <v>5</v>
      </c>
      <c r="G9" s="132" t="n">
        <v>6</v>
      </c>
      <c r="H9" s="132" t="n">
        <v>7</v>
      </c>
      <c r="I9" s="132" t="n">
        <v>8</v>
      </c>
      <c r="J9" s="132" t="n">
        <v>9</v>
      </c>
      <c r="K9" s="132" t="n">
        <v>10</v>
      </c>
      <c r="L9" s="132" t="n">
        <v>11</v>
      </c>
      <c r="M9" s="133" t="n">
        <v>12</v>
      </c>
    </row>
    <row r="10" ht="15.95" customHeight="1">
      <c r="A10" s="134" t="s">
        <v>10</v>
      </c>
      <c r="B10" s="137" t="str">
        <f>Extraction!$L2</f>
        <v>22MB00150</v>
      </c>
      <c r="C10" s="137" t="str">
        <f>Extraction!$L3</f>
        <v>22MB00151</v>
      </c>
      <c r="D10" s="138" t="str">
        <f>Extraction!$L4</f>
        <v>22MB00152</v>
      </c>
      <c r="E10" s="138" t="str">
        <f>Extraction!$L5</f>
        <v>22MB00153</v>
      </c>
      <c r="F10" s="138" t="str">
        <f>Extraction!$L6</f>
        <v>22MB00154</v>
      </c>
      <c r="G10" s="138" t="str">
        <f>Extraction!$L7</f>
        <v>22MB00155</v>
      </c>
      <c r="H10" s="138" t="str">
        <f>Extraction!$L8</f>
        <v>22MB00156</v>
      </c>
      <c r="I10" s="138" t="str">
        <f>Extraction!$L9</f>
        <v>22MB00157</v>
      </c>
      <c r="J10" s="138" t="str">
        <f>Extraction!$L10</f>
        <v>22MB00158</v>
      </c>
      <c r="K10" s="138" t="str">
        <f>Extraction!$L11</f>
        <v>22MB00159</v>
      </c>
      <c r="L10" s="138" t="str">
        <f>Extraction!$L12</f>
        <v>22MB00160</v>
      </c>
      <c r="M10" s="139" t="str">
        <f>Extraction!$L13</f>
        <v>VTM-1</v>
      </c>
    </row>
    <row r="11" ht="15.95" customHeight="1">
      <c r="A11" s="134" t="s">
        <v>32</v>
      </c>
      <c r="B11" s="140" t="str">
        <f>Extraction!$L14</f>
        <v>23MB00201</v>
      </c>
      <c r="C11" s="140" t="str">
        <f>Extraction!$L15</f>
        <v>23MB00202</v>
      </c>
      <c r="D11" s="141" t="str">
        <f>Extraction!$L16</f>
        <v>23MB00203</v>
      </c>
      <c r="E11" s="141" t="str">
        <f>Extraction!$L17</f>
        <v>23MB00204</v>
      </c>
      <c r="F11" s="141" t="str">
        <f>Extraction!$L18</f>
        <v>23MB00205</v>
      </c>
      <c r="G11" s="141" t="str">
        <f>Extraction!$L19</f>
        <v>23MB00206</v>
      </c>
      <c r="H11" s="141" t="str">
        <f>Extraction!$L20</f>
        <v>23MB00207</v>
      </c>
      <c r="I11" s="141" t="str">
        <f>Extraction!$L21</f>
        <v>23MB00208</v>
      </c>
      <c r="J11" s="141" t="str">
        <f>Extraction!$L22</f>
        <v>23MB00209</v>
      </c>
      <c r="K11" s="141" t="str">
        <f>Extraction!$L23</f>
        <v>23MB00210</v>
      </c>
      <c r="L11" s="141" t="str">
        <f>Extraction!$L24</f>
        <v>23MB00211</v>
      </c>
      <c r="M11" s="139" t="str">
        <f>Extraction!$L25</f>
        <v>VTM-2</v>
      </c>
    </row>
    <row r="12" ht="15.95" customHeight="1">
      <c r="A12" s="134" t="s">
        <v>48</v>
      </c>
      <c r="B12" s="140" t="str">
        <f>Extraction!$L26</f>
        <v>23MB00212</v>
      </c>
      <c r="C12" s="140" t="str">
        <f>Extraction!$L27</f>
        <v>23MB00213</v>
      </c>
      <c r="D12" s="141" t="str">
        <f>Extraction!$L28</f>
        <v>23MB00214</v>
      </c>
      <c r="E12" s="141" t="str">
        <f>Extraction!$L29</f>
        <v>23MB00215</v>
      </c>
      <c r="F12" s="141" t="str">
        <f>Extraction!$L30</f>
        <v>23MB00216</v>
      </c>
      <c r="G12" s="141" t="str">
        <f>Extraction!$L31</f>
        <v>23MB00217</v>
      </c>
      <c r="H12" s="141" t="str">
        <f>Extraction!$L32</f>
        <v>23MB00218</v>
      </c>
      <c r="I12" s="141" t="str">
        <f>Extraction!$L33</f>
        <v>23MB00219</v>
      </c>
      <c r="J12" s="141" t="str">
        <f>Extraction!$L34</f>
        <v>23MB00220</v>
      </c>
      <c r="K12" s="141" t="str">
        <f>Extraction!$L35</f>
        <v>23MB00221</v>
      </c>
      <c r="L12" s="141" t="str">
        <f>Extraction!$L36</f>
        <v>23MB00222</v>
      </c>
      <c r="M12" s="139" t="str">
        <f>Extraction!$L37</f>
        <v>VTM-3</v>
      </c>
    </row>
    <row r="13" ht="15.95" customHeight="1">
      <c r="A13" s="134" t="s">
        <v>62</v>
      </c>
      <c r="B13" s="140" t="str">
        <f>Extraction!$L38</f>
        <v>23MB00223</v>
      </c>
      <c r="C13" s="140" t="str">
        <f>Extraction!$L39</f>
        <v>23MB00224</v>
      </c>
      <c r="D13" s="141" t="str">
        <f>Extraction!$L40</f>
        <v>23MB00225</v>
      </c>
      <c r="E13" s="141" t="str">
        <f>Extraction!$L41</f>
        <v>23MB00226</v>
      </c>
      <c r="F13" s="141" t="str">
        <f>Extraction!$L42</f>
        <v>23MB00227</v>
      </c>
      <c r="G13" s="141" t="str">
        <f>Extraction!$L43</f>
        <v>23MB00228</v>
      </c>
      <c r="H13" s="141" t="str">
        <f>Extraction!$L44</f>
        <v>23MB00229</v>
      </c>
      <c r="I13" s="141" t="str">
        <f>Extraction!$L45</f>
        <v>23MB00230</v>
      </c>
      <c r="J13" s="141" t="str">
        <f>Extraction!$L46</f>
        <v>23MB00231</v>
      </c>
      <c r="K13" s="141" t="str">
        <f>Extraction!$L47</f>
        <v>23MB00232</v>
      </c>
      <c r="L13" s="141" t="str">
        <f>Extraction!$L48</f>
        <v>23MB00233</v>
      </c>
      <c r="M13" s="139" t="str">
        <f>Extraction!$L49</f>
        <v>VTM-4</v>
      </c>
    </row>
    <row r="14" ht="15.95" customHeight="1">
      <c r="A14" s="134" t="s">
        <v>76</v>
      </c>
      <c r="B14" s="140" t="str">
        <f>Extraction!$L50</f>
        <v>23MB00234</v>
      </c>
      <c r="C14" s="140" t="str">
        <f>Extraction!$L51</f>
        <v>23MB00235</v>
      </c>
      <c r="D14" s="141" t="str">
        <f>Extraction!$L52</f>
        <v>23MB00236</v>
      </c>
      <c r="E14" s="141" t="str">
        <f>Extraction!$L53</f>
        <v>23MB00237</v>
      </c>
      <c r="F14" s="141" t="str">
        <f>Extraction!$L54</f>
        <v>23MB00238</v>
      </c>
      <c r="G14" s="141" t="str">
        <f>Extraction!$L55</f>
        <v>23MB00239</v>
      </c>
      <c r="H14" s="141" t="str">
        <f>Extraction!$L56</f>
        <v>23MB00240</v>
      </c>
      <c r="I14" s="141" t="str">
        <f>Extraction!$L57</f>
        <v>23MB00241</v>
      </c>
      <c r="J14" s="141" t="str">
        <f>Extraction!$L58</f>
        <v>23MB00242</v>
      </c>
      <c r="K14" s="141" t="str">
        <f>Extraction!$L59</f>
        <v>23MB00243</v>
      </c>
      <c r="L14" s="141" t="str">
        <f>Extraction!$L60</f>
        <v>23MB00244</v>
      </c>
      <c r="M14" s="139" t="str">
        <f>Extraction!$L61</f>
        <v>VTM-5</v>
      </c>
    </row>
    <row r="15" ht="15.95" customHeight="1">
      <c r="A15" s="134" t="s">
        <v>90</v>
      </c>
      <c r="B15" s="140" t="str">
        <f>Extraction!$L62</f>
        <v>23MB00245</v>
      </c>
      <c r="C15" s="140" t="str">
        <f>Extraction!$L63</f>
        <v>23MB00246</v>
      </c>
      <c r="D15" s="141" t="str">
        <f>Extraction!$L64</f>
        <v>23MB00247</v>
      </c>
      <c r="E15" s="141" t="str">
        <f>Extraction!$L65</f>
        <v>23MB00248</v>
      </c>
      <c r="F15" s="141" t="str">
        <f>Extraction!$L66</f>
        <v>23MB00249</v>
      </c>
      <c r="G15" s="141" t="str">
        <f>Extraction!$L67</f>
        <v>23MB00250</v>
      </c>
      <c r="H15" s="141" t="str">
        <f>Extraction!$L68</f>
        <v>23MB00251</v>
      </c>
      <c r="I15" s="141" t="str">
        <f>Extraction!$L69</f>
        <v>23MB00252</v>
      </c>
      <c r="J15" s="141" t="str">
        <f>Extraction!$L70</f>
        <v>23MB00253</v>
      </c>
      <c r="K15" s="141" t="str">
        <f>Extraction!$L71</f>
        <v>23MB00254</v>
      </c>
      <c r="L15" s="141" t="str">
        <f>Extraction!$L72</f>
        <v>23MB00255</v>
      </c>
      <c r="M15" s="139" t="str">
        <f>Extraction!$L73</f>
        <v>VTM-6</v>
      </c>
    </row>
    <row r="16" ht="15.95" customHeight="1">
      <c r="A16" s="134" t="s">
        <v>104</v>
      </c>
      <c r="B16" s="140" t="str">
        <f>Extraction!$L74</f>
        <v>23MB00256</v>
      </c>
      <c r="C16" s="140" t="str">
        <f>Extraction!$L75</f>
        <v>23MB00257</v>
      </c>
      <c r="D16" s="141" t="str">
        <f>Extraction!$L76</f>
        <v>23MB00258</v>
      </c>
      <c r="E16" s="141" t="str">
        <f>Extraction!$L77</f>
        <v>23MB00259</v>
      </c>
      <c r="F16" s="141" t="str">
        <f>Extraction!$L78</f>
        <v>23MB00260</v>
      </c>
      <c r="G16" s="141" t="str">
        <f>Extraction!$L79</f>
        <v>23MB00261</v>
      </c>
      <c r="H16" s="141" t="str">
        <f>Extraction!$L80</f>
        <v>23MB00262</v>
      </c>
      <c r="I16" s="141" t="str">
        <f>Extraction!$L81</f>
        <v>23MB00263</v>
      </c>
      <c r="J16" s="141" t="str">
        <f>Extraction!$L82</f>
        <v>23MB00264</v>
      </c>
      <c r="K16" s="141" t="str">
        <f>Extraction!$L83</f>
        <v>23MB00265</v>
      </c>
      <c r="L16" s="141" t="str">
        <f>Extraction!$L84</f>
        <v>23MB00266</v>
      </c>
      <c r="M16" s="147" t="str">
        <f>Extraction!$L85</f>
        <v>PR8</v>
      </c>
    </row>
    <row r="17" ht="17.100000000000001" customHeight="1">
      <c r="A17" s="135" t="s">
        <v>119</v>
      </c>
      <c r="B17" s="142" t="str">
        <f>Extraction!$L86</f>
        <v>23MB00267</v>
      </c>
      <c r="C17" s="142" t="str">
        <f>Extraction!$L87</f>
        <v>23MB00268</v>
      </c>
      <c r="D17" s="143" t="str">
        <f>Extraction!$L88</f>
        <v>23MB00269</v>
      </c>
      <c r="E17" s="143" t="str">
        <f>Extraction!$L89</f>
        <v>23MB00270</v>
      </c>
      <c r="F17" s="143" t="str">
        <f>Extraction!$L90</f>
        <v>23MB00271</v>
      </c>
      <c r="G17" s="143" t="str">
        <f>Extraction!$L91</f>
        <v>23MB00272</v>
      </c>
      <c r="H17" s="143" t="str">
        <f>Extraction!$L92</f>
        <v>23MB00273</v>
      </c>
      <c r="I17" s="143" t="str">
        <f>Extraction!$L93</f>
        <v>23MB00274</v>
      </c>
      <c r="J17" s="143" t="str">
        <f>Extraction!$L94</f>
        <v>23MB00275</v>
      </c>
      <c r="K17" s="143" t="str">
        <f>Extraction!$L95</f>
        <v>23MB00276</v>
      </c>
      <c r="L17" s="143" t="str">
        <f>Extraction!$L96</f>
        <v>23MB00277</v>
      </c>
      <c r="M17" s="148" t="s">
        <v>116</v>
      </c>
    </row>
    <row r="18" ht="14.1" customHeight="1"/>
    <row r="19" ht="13.5" customHeight="1"/>
    <row r="20" ht="35.1" customHeight="1">
      <c r="A20" s="144" t="s">
        <v>126</v>
      </c>
      <c r="B20" s="125" t="s">
        <v>127</v>
      </c>
      <c r="C20" s="126"/>
      <c r="D20" s="103" t="s">
        <v>128</v>
      </c>
      <c r="E20" s="104"/>
      <c r="F20" s="105"/>
      <c r="G20" s="103" t="s">
        <v>129</v>
      </c>
      <c r="H20" s="104"/>
      <c r="I20" s="105"/>
      <c r="J20" s="103" t="s">
        <v>130</v>
      </c>
      <c r="K20" s="104"/>
      <c r="L20" s="105"/>
      <c r="M20" s="103" t="s">
        <v>131</v>
      </c>
      <c r="N20" s="104"/>
      <c r="O20" s="105"/>
    </row>
    <row r="21" ht="15.6" customHeight="1">
      <c r="A21" s="89"/>
      <c r="B21" s="127"/>
      <c r="C21" s="128"/>
      <c r="D21" s="106"/>
      <c r="E21" s="107"/>
      <c r="F21" s="108"/>
      <c r="G21" s="106"/>
      <c r="H21" s="107"/>
      <c r="I21" s="108"/>
      <c r="J21" s="106"/>
      <c r="K21" s="107"/>
      <c r="L21" s="108"/>
      <c r="M21" s="106"/>
      <c r="N21" s="107"/>
      <c r="O21" s="108"/>
    </row>
    <row r="22" ht="14.85" customHeight="1">
      <c r="A22" s="89"/>
      <c r="B22" s="90" t="s">
        <v>132</v>
      </c>
      <c r="C22" s="91"/>
      <c r="D22" s="97"/>
      <c r="E22" s="98"/>
      <c r="F22" s="99"/>
      <c r="G22" s="94"/>
      <c r="H22" s="95"/>
      <c r="I22" s="96"/>
      <c r="J22" s="94"/>
      <c r="K22" s="95"/>
      <c r="L22" s="96"/>
      <c r="M22" s="94"/>
      <c r="N22" s="95"/>
      <c r="O22" s="96"/>
    </row>
    <row r="23" ht="14.85" customHeight="1">
      <c r="A23" s="89"/>
      <c r="B23" s="92"/>
      <c r="C23" s="93"/>
      <c r="D23" s="100"/>
      <c r="E23" s="101"/>
      <c r="F23" s="102"/>
      <c r="G23" s="94"/>
      <c r="H23" s="95"/>
      <c r="I23" s="96"/>
      <c r="J23" s="94"/>
      <c r="K23" s="95"/>
      <c r="L23" s="96"/>
      <c r="M23" s="94"/>
      <c r="N23" s="95"/>
      <c r="O23" s="96"/>
    </row>
    <row r="24" ht="16.350000000000001" customHeight="1">
      <c r="A24" s="89"/>
      <c r="B24" s="90" t="s">
        <v>133</v>
      </c>
      <c r="C24" s="91"/>
      <c r="D24" s="97"/>
      <c r="E24" s="98"/>
      <c r="F24" s="99"/>
      <c r="G24" s="94"/>
      <c r="H24" s="95"/>
      <c r="I24" s="96"/>
      <c r="J24" s="94"/>
      <c r="K24" s="95"/>
      <c r="L24" s="96"/>
      <c r="M24" s="94"/>
      <c r="N24" s="95"/>
      <c r="O24" s="96"/>
    </row>
    <row r="25" ht="16.350000000000001" customHeight="1">
      <c r="A25" s="89"/>
      <c r="B25" s="92"/>
      <c r="C25" s="93"/>
      <c r="D25" s="100"/>
      <c r="E25" s="101"/>
      <c r="F25" s="102"/>
      <c r="G25" s="94"/>
      <c r="H25" s="95"/>
      <c r="I25" s="96"/>
      <c r="J25" s="94"/>
      <c r="K25" s="95"/>
      <c r="L25" s="96"/>
      <c r="M25" s="94"/>
      <c r="N25" s="95"/>
      <c r="O25" s="96"/>
    </row>
    <row r="26" ht="16.350000000000001" customHeight="1">
      <c r="A26" s="89"/>
      <c r="B26" s="90" t="s">
        <v>134</v>
      </c>
      <c r="C26" s="91"/>
      <c r="D26" s="97"/>
      <c r="E26" s="98"/>
      <c r="F26" s="99"/>
      <c r="G26" s="94"/>
      <c r="H26" s="95"/>
      <c r="I26" s="96"/>
      <c r="J26" s="94"/>
      <c r="K26" s="95"/>
      <c r="L26" s="96"/>
      <c r="M26" s="94"/>
      <c r="N26" s="95"/>
      <c r="O26" s="96"/>
    </row>
    <row r="27" ht="16.350000000000001" customHeight="1">
      <c r="A27" s="89"/>
      <c r="B27" s="92"/>
      <c r="C27" s="93"/>
      <c r="D27" s="100"/>
      <c r="E27" s="101"/>
      <c r="F27" s="102"/>
      <c r="G27" s="94"/>
      <c r="H27" s="95"/>
      <c r="I27" s="96"/>
      <c r="J27" s="94"/>
      <c r="K27" s="95"/>
      <c r="L27" s="96"/>
      <c r="M27" s="94"/>
      <c r="N27" s="95"/>
      <c r="O27" s="96"/>
    </row>
    <row r="28" ht="16.350000000000001" customHeight="1">
      <c r="A28" s="89"/>
      <c r="B28" s="90" t="s">
        <v>135</v>
      </c>
      <c r="C28" s="91"/>
      <c r="D28" s="97"/>
      <c r="E28" s="98"/>
      <c r="F28" s="99"/>
      <c r="G28" s="94"/>
      <c r="H28" s="95"/>
      <c r="I28" s="96"/>
      <c r="J28" s="94"/>
      <c r="K28" s="95"/>
      <c r="L28" s="96"/>
      <c r="M28" s="94"/>
      <c r="N28" s="95"/>
      <c r="O28" s="96"/>
    </row>
    <row r="29" ht="16.350000000000001" customHeight="1">
      <c r="A29" s="89"/>
      <c r="B29" s="92"/>
      <c r="C29" s="93"/>
      <c r="D29" s="100"/>
      <c r="E29" s="101"/>
      <c r="F29" s="102"/>
      <c r="G29" s="94"/>
      <c r="H29" s="95"/>
      <c r="I29" s="96"/>
      <c r="J29" s="94"/>
      <c r="K29" s="95"/>
      <c r="L29" s="96"/>
      <c r="M29" s="94"/>
      <c r="N29" s="95"/>
      <c r="O29" s="96"/>
    </row>
    <row r="30" ht="16.350000000000001" customHeight="1">
      <c r="A30" s="89"/>
      <c r="B30" s="90" t="s">
        <v>136</v>
      </c>
      <c r="C30" s="91"/>
      <c r="D30" s="97"/>
      <c r="E30" s="98"/>
      <c r="F30" s="99"/>
      <c r="G30" s="94"/>
      <c r="H30" s="95"/>
      <c r="I30" s="96"/>
      <c r="J30" s="94"/>
      <c r="K30" s="95"/>
      <c r="L30" s="96"/>
      <c r="M30" s="94"/>
      <c r="N30" s="95"/>
      <c r="O30" s="96"/>
    </row>
    <row r="31" ht="16.350000000000001" customHeight="1">
      <c r="A31" s="89"/>
      <c r="B31" s="92"/>
      <c r="C31" s="93"/>
      <c r="D31" s="100"/>
      <c r="E31" s="101"/>
      <c r="F31" s="102"/>
      <c r="G31" s="94"/>
      <c r="H31" s="95"/>
      <c r="I31" s="96"/>
      <c r="J31" s="94"/>
      <c r="K31" s="95"/>
      <c r="L31" s="96"/>
      <c r="M31" s="94"/>
      <c r="N31" s="95"/>
      <c r="O31" s="96"/>
    </row>
    <row r="32" ht="16.350000000000001" customHeight="1">
      <c r="A32" s="89"/>
      <c r="B32" s="90" t="s">
        <v>137</v>
      </c>
      <c r="C32" s="91"/>
      <c r="D32" s="97"/>
      <c r="E32" s="98"/>
      <c r="F32" s="99"/>
      <c r="G32" s="94"/>
      <c r="H32" s="95"/>
      <c r="I32" s="96"/>
      <c r="J32" s="94"/>
      <c r="K32" s="95"/>
      <c r="L32" s="96"/>
      <c r="M32" s="94"/>
      <c r="N32" s="95"/>
      <c r="O32" s="96"/>
    </row>
    <row r="33" ht="16.350000000000001" customHeight="1">
      <c r="A33" s="89"/>
      <c r="B33" s="92"/>
      <c r="C33" s="93"/>
      <c r="D33" s="100"/>
      <c r="E33" s="101"/>
      <c r="F33" s="102"/>
      <c r="G33" s="94"/>
      <c r="H33" s="95"/>
      <c r="I33" s="96"/>
      <c r="J33" s="94"/>
      <c r="K33" s="95"/>
      <c r="L33" s="96"/>
      <c r="M33" s="94"/>
      <c r="N33" s="95"/>
      <c r="O33" s="96"/>
    </row>
    <row r="34" ht="14.1" customHeight="1"/>
    <row r="36" ht="17.100000000000001" customHeight="1">
      <c r="A36" s="145" t="s">
        <v>23</v>
      </c>
    </row>
    <row r="37" ht="12" customHeight="1">
      <c r="A37" s="89"/>
    </row>
    <row r="38">
      <c r="A38" s="89"/>
    </row>
    <row r="39">
      <c r="A39" s="89"/>
    </row>
    <row r="40">
      <c r="A40" s="89"/>
    </row>
    <row r="41">
      <c r="A41" s="89"/>
    </row>
    <row r="42">
      <c r="A42" s="89"/>
    </row>
    <row r="43">
      <c r="A43" s="89"/>
    </row>
    <row r="44">
      <c r="A44" s="89"/>
    </row>
    <row r="45">
      <c r="A45" s="89"/>
    </row>
    <row r="46">
      <c r="A46" s="89"/>
    </row>
    <row r="47">
      <c r="A47" s="89"/>
    </row>
    <row r="48">
      <c r="A48" s="89"/>
    </row>
    <row r="49">
      <c r="A49" s="89"/>
    </row>
    <row r="50">
      <c r="A50" s="89"/>
    </row>
    <row r="51">
      <c r="A51" s="89"/>
    </row>
    <row r="52">
      <c r="A52" s="89"/>
    </row>
    <row r="53">
      <c r="A53" s="89"/>
    </row>
    <row r="54">
      <c r="A54" s="89"/>
    </row>
    <row r="55">
      <c r="A55" s="89"/>
    </row>
  </sheetData>
  <mergeCells count="39">
    <mergeCell ref="A1:H1"/>
    <mergeCell ref="B2:C3"/>
    <mergeCell ref="B4:H5"/>
    <mergeCell ref="B6:C7"/>
    <mergeCell ref="B20:C21"/>
    <mergeCell ref="G20:I21"/>
    <mergeCell ref="J20:L21"/>
    <mergeCell ref="D20:F21"/>
    <mergeCell ref="M20:O21"/>
    <mergeCell ref="G22:I23"/>
    <mergeCell ref="J22:L23"/>
    <mergeCell ref="M22:O23"/>
    <mergeCell ref="J24:L25"/>
    <mergeCell ref="M24:O25"/>
    <mergeCell ref="B30:C31"/>
    <mergeCell ref="G26:I27"/>
    <mergeCell ref="J26:L27"/>
    <mergeCell ref="M26:O27"/>
    <mergeCell ref="B26:C27"/>
    <mergeCell ref="D24:F25"/>
    <mergeCell ref="D26:F27"/>
    <mergeCell ref="D28:F29"/>
    <mergeCell ref="D30:F31"/>
    <mergeCell ref="B32:C33"/>
    <mergeCell ref="G32:I33"/>
    <mergeCell ref="J32:L33"/>
    <mergeCell ref="M32:O33"/>
    <mergeCell ref="B22:C23"/>
    <mergeCell ref="G28:I29"/>
    <mergeCell ref="J28:L29"/>
    <mergeCell ref="M28:O29"/>
    <mergeCell ref="B24:C25"/>
    <mergeCell ref="G30:I31"/>
    <mergeCell ref="J30:L31"/>
    <mergeCell ref="M30:O31"/>
    <mergeCell ref="D22:F23"/>
    <mergeCell ref="D32:F33"/>
    <mergeCell ref="B28:C29"/>
    <mergeCell ref="G24:I25"/>
  </mergeCells>
  <pageMargins left="0.25" right="0.25" top="0.75" bottom="0.75" header="0.3" footer="0.3"/>
  <pageSetup scale="65" fitToHeight="0" orientation="portrait"/>
  <headerFooter differentOddEven="0" differentFirst="0" scaleWithDoc="0" alignWithMargins="0">
    <oddHeader>&amp;L&amp;C&amp;"Arial,Bold"&amp;24RT-PCR&amp;R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8" sqref="C8"/>
    </sheetView>
  </sheetViews>
  <sheetFormatPr defaultRowHeight="15.0" baseColWidth="10"/>
  <sheetData>
    <row r="1">
      <c r="A1" t="s">
        <v>138</v>
      </c>
    </row>
    <row r="2">
      <c r="A2" t="s">
        <v>139</v>
      </c>
    </row>
    <row r="3">
      <c r="A3" t="s">
        <v>140</v>
      </c>
    </row>
    <row r="4">
      <c r="A4" t="s">
        <v>141</v>
      </c>
    </row>
    <row r="6">
      <c r="A6" t="s">
        <v>142</v>
      </c>
    </row>
    <row r="7">
      <c r="A7" t="s">
        <v>143</v>
      </c>
      <c r="B7" t="s">
        <v>144</v>
      </c>
      <c r="C7" s="150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</row>
    <row r="8">
      <c r="A8" t="n">
        <v>1</v>
      </c>
      <c r="B8" t="s">
        <v>156</v>
      </c>
      <c r="C8" s="151" t="str">
        <f>Extraction!L2</f>
        <v>22MB00150</v>
      </c>
    </row>
    <row r="9">
      <c r="A9" t="n">
        <v>2</v>
      </c>
      <c r="B9" t="s">
        <v>157</v>
      </c>
      <c r="C9" s="151" t="str">
        <f>Extraction!L3</f>
        <v>22MB00151</v>
      </c>
    </row>
    <row r="10">
      <c r="A10" t="n">
        <v>3</v>
      </c>
      <c r="B10" t="s">
        <v>158</v>
      </c>
      <c r="C10" s="151" t="str">
        <f>Extraction!L4</f>
        <v>22MB00152</v>
      </c>
    </row>
    <row r="11">
      <c r="A11" t="n">
        <v>4</v>
      </c>
      <c r="B11" t="s">
        <v>159</v>
      </c>
      <c r="C11" s="151" t="str">
        <f>Extraction!L5</f>
        <v>22MB00153</v>
      </c>
    </row>
    <row r="12">
      <c r="A12" t="n">
        <v>5</v>
      </c>
      <c r="B12" t="s">
        <v>160</v>
      </c>
      <c r="C12" s="151" t="str">
        <f>Extraction!L6</f>
        <v>22MB00154</v>
      </c>
    </row>
    <row r="13">
      <c r="A13" t="n">
        <v>6</v>
      </c>
      <c r="B13" t="s">
        <v>161</v>
      </c>
      <c r="C13" s="151" t="str">
        <f>Extraction!L7</f>
        <v>22MB00155</v>
      </c>
    </row>
    <row r="14">
      <c r="A14" t="n">
        <v>7</v>
      </c>
      <c r="B14" t="s">
        <v>162</v>
      </c>
      <c r="C14" s="151" t="str">
        <f>Extraction!L8</f>
        <v>22MB00156</v>
      </c>
    </row>
    <row r="15">
      <c r="A15" t="n">
        <v>8</v>
      </c>
      <c r="B15" t="s">
        <v>163</v>
      </c>
      <c r="C15" s="151" t="str">
        <f>Extraction!L9</f>
        <v>22MB00157</v>
      </c>
    </row>
    <row r="16">
      <c r="A16" t="n">
        <v>9</v>
      </c>
      <c r="B16" t="s">
        <v>164</v>
      </c>
      <c r="C16" s="151" t="str">
        <f>Extraction!L10</f>
        <v>22MB00158</v>
      </c>
    </row>
    <row r="17">
      <c r="A17" t="n">
        <v>10</v>
      </c>
      <c r="B17" t="s">
        <v>165</v>
      </c>
      <c r="C17" s="151" t="str">
        <f>Extraction!L11</f>
        <v>22MB00159</v>
      </c>
    </row>
    <row r="18">
      <c r="A18" t="n">
        <v>11</v>
      </c>
      <c r="B18" t="s">
        <v>166</v>
      </c>
      <c r="C18" s="151" t="str">
        <f>Extraction!L12</f>
        <v>22MB00160</v>
      </c>
    </row>
    <row r="19">
      <c r="A19" t="n">
        <v>12</v>
      </c>
      <c r="B19" t="s">
        <v>167</v>
      </c>
      <c r="C19" s="152" t="str">
        <f>Extraction!L13</f>
        <v>VTM-1</v>
      </c>
    </row>
    <row r="20">
      <c r="A20" t="n">
        <v>13</v>
      </c>
      <c r="B20" t="s">
        <v>168</v>
      </c>
      <c r="C20" s="151" t="str">
        <f>Extraction!L14</f>
        <v>23MB00201</v>
      </c>
    </row>
    <row r="21">
      <c r="A21" t="n">
        <v>14</v>
      </c>
      <c r="B21" t="s">
        <v>169</v>
      </c>
      <c r="C21" s="151" t="str">
        <f>Extraction!L15</f>
        <v>23MB00202</v>
      </c>
    </row>
    <row r="22">
      <c r="A22" t="n">
        <v>15</v>
      </c>
      <c r="B22" t="s">
        <v>170</v>
      </c>
      <c r="C22" s="151" t="str">
        <f>Extraction!L16</f>
        <v>23MB00203</v>
      </c>
    </row>
    <row r="23">
      <c r="A23" t="n">
        <v>16</v>
      </c>
      <c r="B23" t="s">
        <v>171</v>
      </c>
      <c r="C23" s="151" t="str">
        <f>Extraction!L17</f>
        <v>23MB00204</v>
      </c>
    </row>
    <row r="24">
      <c r="A24" t="n">
        <v>17</v>
      </c>
      <c r="B24" t="s">
        <v>172</v>
      </c>
      <c r="C24" s="151" t="str">
        <f>Extraction!L18</f>
        <v>23MB00205</v>
      </c>
    </row>
    <row r="25">
      <c r="A25" t="n">
        <v>18</v>
      </c>
      <c r="B25" t="s">
        <v>173</v>
      </c>
      <c r="C25" s="151" t="str">
        <f>Extraction!L19</f>
        <v>23MB00206</v>
      </c>
    </row>
    <row r="26">
      <c r="A26" t="n">
        <v>19</v>
      </c>
      <c r="B26" t="s">
        <v>174</v>
      </c>
      <c r="C26" s="151" t="str">
        <f>Extraction!L20</f>
        <v>23MB00207</v>
      </c>
    </row>
    <row r="27">
      <c r="A27" t="n">
        <v>20</v>
      </c>
      <c r="B27" t="s">
        <v>175</v>
      </c>
      <c r="C27" s="151" t="str">
        <f>Extraction!L21</f>
        <v>23MB00208</v>
      </c>
    </row>
    <row r="28">
      <c r="A28" t="n">
        <v>21</v>
      </c>
      <c r="B28" t="s">
        <v>176</v>
      </c>
      <c r="C28" s="151" t="str">
        <f>Extraction!L22</f>
        <v>23MB00209</v>
      </c>
    </row>
    <row r="29">
      <c r="A29" t="n">
        <v>22</v>
      </c>
      <c r="B29" t="s">
        <v>177</v>
      </c>
      <c r="C29" s="151" t="str">
        <f>Extraction!L23</f>
        <v>23MB00210</v>
      </c>
    </row>
    <row r="30">
      <c r="A30" t="n">
        <v>23</v>
      </c>
      <c r="B30" t="s">
        <v>178</v>
      </c>
      <c r="C30" s="151" t="str">
        <f>Extraction!L24</f>
        <v>23MB00211</v>
      </c>
    </row>
    <row r="31">
      <c r="A31" t="n">
        <v>24</v>
      </c>
      <c r="B31" t="s">
        <v>179</v>
      </c>
      <c r="C31" s="152" t="str">
        <f>Extraction!L25</f>
        <v>VTM-2</v>
      </c>
    </row>
    <row r="32">
      <c r="A32" t="n">
        <v>25</v>
      </c>
      <c r="B32" t="s">
        <v>180</v>
      </c>
      <c r="C32" s="151" t="str">
        <f>Extraction!L26</f>
        <v>23MB00212</v>
      </c>
    </row>
    <row r="33">
      <c r="A33" t="n">
        <v>26</v>
      </c>
      <c r="B33" t="s">
        <v>181</v>
      </c>
      <c r="C33" s="151" t="str">
        <f>Extraction!L27</f>
        <v>23MB00213</v>
      </c>
    </row>
    <row r="34">
      <c r="A34" t="n">
        <v>27</v>
      </c>
      <c r="B34" t="s">
        <v>182</v>
      </c>
      <c r="C34" s="151" t="str">
        <f>Extraction!L28</f>
        <v>23MB00214</v>
      </c>
    </row>
    <row r="35">
      <c r="A35" t="n">
        <v>28</v>
      </c>
      <c r="B35" t="s">
        <v>183</v>
      </c>
      <c r="C35" s="151" t="str">
        <f>Extraction!L29</f>
        <v>23MB00215</v>
      </c>
    </row>
    <row r="36">
      <c r="A36" t="n">
        <v>29</v>
      </c>
      <c r="B36" t="s">
        <v>184</v>
      </c>
      <c r="C36" s="151" t="str">
        <f>Extraction!L30</f>
        <v>23MB00216</v>
      </c>
    </row>
    <row r="37">
      <c r="A37" t="n">
        <v>30</v>
      </c>
      <c r="B37" t="s">
        <v>185</v>
      </c>
      <c r="C37" s="151" t="str">
        <f>Extraction!L31</f>
        <v>23MB00217</v>
      </c>
    </row>
    <row r="38">
      <c r="A38" t="n">
        <v>31</v>
      </c>
      <c r="B38" t="s">
        <v>186</v>
      </c>
      <c r="C38" s="151" t="str">
        <f>Extraction!L32</f>
        <v>23MB00218</v>
      </c>
    </row>
    <row r="39">
      <c r="A39" t="n">
        <v>32</v>
      </c>
      <c r="B39" t="s">
        <v>187</v>
      </c>
      <c r="C39" s="151" t="str">
        <f>Extraction!L33</f>
        <v>23MB00219</v>
      </c>
    </row>
    <row r="40">
      <c r="A40" t="n">
        <v>33</v>
      </c>
      <c r="B40" t="s">
        <v>188</v>
      </c>
      <c r="C40" s="151" t="str">
        <f>Extraction!L34</f>
        <v>23MB00220</v>
      </c>
    </row>
    <row r="41">
      <c r="A41" t="n">
        <v>34</v>
      </c>
      <c r="B41" t="s">
        <v>189</v>
      </c>
      <c r="C41" s="151" t="str">
        <f>Extraction!L35</f>
        <v>23MB00221</v>
      </c>
    </row>
    <row r="42">
      <c r="A42" t="n">
        <v>35</v>
      </c>
      <c r="B42" t="s">
        <v>190</v>
      </c>
      <c r="C42" s="151" t="str">
        <f>Extraction!L36</f>
        <v>23MB00222</v>
      </c>
    </row>
    <row r="43">
      <c r="A43" t="n">
        <v>36</v>
      </c>
      <c r="B43" t="s">
        <v>191</v>
      </c>
      <c r="C43" s="152" t="str">
        <f>Extraction!L37</f>
        <v>VTM-3</v>
      </c>
    </row>
    <row r="44">
      <c r="A44" t="n">
        <v>37</v>
      </c>
      <c r="B44" t="s">
        <v>192</v>
      </c>
      <c r="C44" s="151" t="str">
        <f>Extraction!L38</f>
        <v>23MB00223</v>
      </c>
    </row>
    <row r="45">
      <c r="A45" t="n">
        <v>38</v>
      </c>
      <c r="B45" t="s">
        <v>193</v>
      </c>
      <c r="C45" s="151" t="str">
        <f>Extraction!L39</f>
        <v>23MB00224</v>
      </c>
    </row>
    <row r="46">
      <c r="A46" t="n">
        <v>39</v>
      </c>
      <c r="B46" t="s">
        <v>194</v>
      </c>
      <c r="C46" s="151" t="str">
        <f>Extraction!L40</f>
        <v>23MB00225</v>
      </c>
    </row>
    <row r="47">
      <c r="A47" t="n">
        <v>40</v>
      </c>
      <c r="B47" t="s">
        <v>195</v>
      </c>
      <c r="C47" s="151" t="str">
        <f>Extraction!L41</f>
        <v>23MB00226</v>
      </c>
    </row>
    <row r="48">
      <c r="A48" t="n">
        <v>41</v>
      </c>
      <c r="B48" t="s">
        <v>196</v>
      </c>
      <c r="C48" s="151" t="str">
        <f>Extraction!L42</f>
        <v>23MB00227</v>
      </c>
    </row>
    <row r="49">
      <c r="A49" t="n">
        <v>42</v>
      </c>
      <c r="B49" t="s">
        <v>197</v>
      </c>
      <c r="C49" s="151" t="str">
        <f>Extraction!L43</f>
        <v>23MB00228</v>
      </c>
    </row>
    <row r="50">
      <c r="A50" t="n">
        <v>43</v>
      </c>
      <c r="B50" t="s">
        <v>198</v>
      </c>
      <c r="C50" s="151" t="str">
        <f>Extraction!L44</f>
        <v>23MB00229</v>
      </c>
    </row>
    <row r="51">
      <c r="A51" t="n">
        <v>44</v>
      </c>
      <c r="B51" t="s">
        <v>199</v>
      </c>
      <c r="C51" s="151" t="str">
        <f>Extraction!L45</f>
        <v>23MB00230</v>
      </c>
    </row>
    <row r="52">
      <c r="A52" t="n">
        <v>45</v>
      </c>
      <c r="B52" t="s">
        <v>200</v>
      </c>
      <c r="C52" s="151" t="str">
        <f>Extraction!L46</f>
        <v>23MB00231</v>
      </c>
    </row>
    <row r="53">
      <c r="A53" t="n">
        <v>46</v>
      </c>
      <c r="B53" t="s">
        <v>201</v>
      </c>
      <c r="C53" s="151" t="str">
        <f>Extraction!L47</f>
        <v>23MB00232</v>
      </c>
    </row>
    <row r="54">
      <c r="A54" t="n">
        <v>47</v>
      </c>
      <c r="B54" t="s">
        <v>202</v>
      </c>
      <c r="C54" s="151" t="str">
        <f>Extraction!L48</f>
        <v>23MB00233</v>
      </c>
    </row>
    <row r="55">
      <c r="A55" t="n">
        <v>48</v>
      </c>
      <c r="B55" t="s">
        <v>203</v>
      </c>
      <c r="C55" s="152" t="str">
        <f>Extraction!L49</f>
        <v>VTM-4</v>
      </c>
    </row>
    <row r="56">
      <c r="A56" t="n">
        <v>49</v>
      </c>
      <c r="B56" t="s">
        <v>204</v>
      </c>
      <c r="C56" s="151" t="str">
        <f>Extraction!L50</f>
        <v>23MB00234</v>
      </c>
    </row>
    <row r="57">
      <c r="A57" t="n">
        <v>50</v>
      </c>
      <c r="B57" t="s">
        <v>205</v>
      </c>
      <c r="C57" s="151" t="str">
        <f>Extraction!L51</f>
        <v>23MB00235</v>
      </c>
    </row>
    <row r="58">
      <c r="A58" t="n">
        <v>51</v>
      </c>
      <c r="B58" t="s">
        <v>206</v>
      </c>
      <c r="C58" s="151" t="str">
        <f>Extraction!L52</f>
        <v>23MB00236</v>
      </c>
    </row>
    <row r="59">
      <c r="A59" t="n">
        <v>52</v>
      </c>
      <c r="B59" t="s">
        <v>207</v>
      </c>
      <c r="C59" s="151" t="str">
        <f>Extraction!L53</f>
        <v>23MB00237</v>
      </c>
    </row>
    <row r="60">
      <c r="A60" t="n">
        <v>53</v>
      </c>
      <c r="B60" t="s">
        <v>208</v>
      </c>
      <c r="C60" s="151" t="str">
        <f>Extraction!L54</f>
        <v>23MB00238</v>
      </c>
    </row>
    <row r="61">
      <c r="A61" t="n">
        <v>54</v>
      </c>
      <c r="B61" t="s">
        <v>209</v>
      </c>
      <c r="C61" s="151" t="str">
        <f>Extraction!L55</f>
        <v>23MB00239</v>
      </c>
    </row>
    <row r="62">
      <c r="A62" t="n">
        <v>55</v>
      </c>
      <c r="B62" t="s">
        <v>210</v>
      </c>
      <c r="C62" s="151" t="str">
        <f>Extraction!L56</f>
        <v>23MB00240</v>
      </c>
    </row>
    <row r="63">
      <c r="A63" t="n">
        <v>56</v>
      </c>
      <c r="B63" t="s">
        <v>211</v>
      </c>
      <c r="C63" s="151" t="str">
        <f>Extraction!L57</f>
        <v>23MB00241</v>
      </c>
    </row>
    <row r="64">
      <c r="A64" t="n">
        <v>57</v>
      </c>
      <c r="B64" t="s">
        <v>212</v>
      </c>
      <c r="C64" s="151" t="str">
        <f>Extraction!L58</f>
        <v>23MB00242</v>
      </c>
    </row>
    <row r="65">
      <c r="A65" t="n">
        <v>58</v>
      </c>
      <c r="B65" t="s">
        <v>213</v>
      </c>
      <c r="C65" s="151" t="str">
        <f>Extraction!L59</f>
        <v>23MB00243</v>
      </c>
    </row>
    <row r="66">
      <c r="A66" t="n">
        <v>59</v>
      </c>
      <c r="B66" t="s">
        <v>214</v>
      </c>
      <c r="C66" s="151" t="str">
        <f>Extraction!L60</f>
        <v>23MB00244</v>
      </c>
    </row>
    <row r="67">
      <c r="A67" t="n">
        <v>60</v>
      </c>
      <c r="B67" t="s">
        <v>215</v>
      </c>
      <c r="C67" s="152" t="str">
        <f>Extraction!L61</f>
        <v>VTM-5</v>
      </c>
    </row>
    <row r="68">
      <c r="A68" t="n">
        <v>61</v>
      </c>
      <c r="B68" t="s">
        <v>216</v>
      </c>
      <c r="C68" s="151" t="str">
        <f>Extraction!L62</f>
        <v>23MB00245</v>
      </c>
    </row>
    <row r="69">
      <c r="A69" t="n">
        <v>62</v>
      </c>
      <c r="B69" t="s">
        <v>217</v>
      </c>
      <c r="C69" s="151" t="str">
        <f>Extraction!L63</f>
        <v>23MB00246</v>
      </c>
    </row>
    <row r="70">
      <c r="A70" t="n">
        <v>63</v>
      </c>
      <c r="B70" t="s">
        <v>218</v>
      </c>
      <c r="C70" s="151" t="str">
        <f>Extraction!L64</f>
        <v>23MB00247</v>
      </c>
    </row>
    <row r="71">
      <c r="A71" t="n">
        <v>64</v>
      </c>
      <c r="B71" t="s">
        <v>219</v>
      </c>
      <c r="C71" s="151" t="str">
        <f>Extraction!L65</f>
        <v>23MB00248</v>
      </c>
    </row>
    <row r="72">
      <c r="A72" t="n">
        <v>65</v>
      </c>
      <c r="B72" t="s">
        <v>220</v>
      </c>
      <c r="C72" s="151" t="str">
        <f>Extraction!L66</f>
        <v>23MB00249</v>
      </c>
    </row>
    <row r="73">
      <c r="A73" t="n">
        <v>66</v>
      </c>
      <c r="B73" t="s">
        <v>221</v>
      </c>
      <c r="C73" s="151" t="str">
        <f>Extraction!L67</f>
        <v>23MB00250</v>
      </c>
    </row>
    <row r="74">
      <c r="A74" t="n">
        <v>67</v>
      </c>
      <c r="B74" t="s">
        <v>222</v>
      </c>
      <c r="C74" s="151" t="str">
        <f>Extraction!L68</f>
        <v>23MB00251</v>
      </c>
    </row>
    <row r="75">
      <c r="A75" t="n">
        <v>68</v>
      </c>
      <c r="B75" t="s">
        <v>223</v>
      </c>
      <c r="C75" s="151" t="str">
        <f>Extraction!L69</f>
        <v>23MB00252</v>
      </c>
    </row>
    <row r="76">
      <c r="A76" t="n">
        <v>69</v>
      </c>
      <c r="B76" t="s">
        <v>224</v>
      </c>
      <c r="C76" s="151" t="str">
        <f>Extraction!L70</f>
        <v>23MB00253</v>
      </c>
    </row>
    <row r="77">
      <c r="A77" t="n">
        <v>70</v>
      </c>
      <c r="B77" t="s">
        <v>225</v>
      </c>
      <c r="C77" s="151" t="str">
        <f>Extraction!L71</f>
        <v>23MB00254</v>
      </c>
    </row>
    <row r="78">
      <c r="A78" t="n">
        <v>71</v>
      </c>
      <c r="B78" t="s">
        <v>226</v>
      </c>
      <c r="C78" s="151" t="str">
        <f>Extraction!L72</f>
        <v>23MB00255</v>
      </c>
    </row>
    <row r="79">
      <c r="A79" t="n">
        <v>72</v>
      </c>
      <c r="B79" t="s">
        <v>227</v>
      </c>
      <c r="C79" s="152" t="str">
        <f>Extraction!L73</f>
        <v>VTM-6</v>
      </c>
    </row>
    <row r="80">
      <c r="A80" t="n">
        <v>73</v>
      </c>
      <c r="B80" t="s">
        <v>228</v>
      </c>
      <c r="C80" s="151" t="str">
        <f>Extraction!L74</f>
        <v>23MB00256</v>
      </c>
    </row>
    <row r="81">
      <c r="A81" t="n">
        <v>74</v>
      </c>
      <c r="B81" t="s">
        <v>229</v>
      </c>
      <c r="C81" s="151" t="str">
        <f>Extraction!L75</f>
        <v>23MB00257</v>
      </c>
    </row>
    <row r="82">
      <c r="A82" t="n">
        <v>75</v>
      </c>
      <c r="B82" t="s">
        <v>230</v>
      </c>
      <c r="C82" s="151" t="str">
        <f>Extraction!L76</f>
        <v>23MB00258</v>
      </c>
    </row>
    <row r="83">
      <c r="A83" t="n">
        <v>76</v>
      </c>
      <c r="B83" t="s">
        <v>231</v>
      </c>
      <c r="C83" s="151" t="str">
        <f>Extraction!L77</f>
        <v>23MB00259</v>
      </c>
    </row>
    <row r="84">
      <c r="A84" t="n">
        <v>77</v>
      </c>
      <c r="B84" t="s">
        <v>232</v>
      </c>
      <c r="C84" s="151" t="str">
        <f>Extraction!L78</f>
        <v>23MB00260</v>
      </c>
    </row>
    <row r="85">
      <c r="A85" t="n">
        <v>78</v>
      </c>
      <c r="B85" t="s">
        <v>233</v>
      </c>
      <c r="C85" s="151" t="str">
        <f>Extraction!L79</f>
        <v>23MB00261</v>
      </c>
    </row>
    <row r="86">
      <c r="A86" t="n">
        <v>79</v>
      </c>
      <c r="B86" t="s">
        <v>234</v>
      </c>
      <c r="C86" s="151" t="str">
        <f>Extraction!L80</f>
        <v>23MB00262</v>
      </c>
    </row>
    <row r="87">
      <c r="A87" t="n">
        <v>80</v>
      </c>
      <c r="B87" t="s">
        <v>235</v>
      </c>
      <c r="C87" s="151" t="str">
        <f>Extraction!L81</f>
        <v>23MB00263</v>
      </c>
    </row>
    <row r="88">
      <c r="A88" t="n">
        <v>81</v>
      </c>
      <c r="B88" t="s">
        <v>236</v>
      </c>
      <c r="C88" s="151" t="str">
        <f>Extraction!L82</f>
        <v>23MB00264</v>
      </c>
    </row>
    <row r="89">
      <c r="A89" t="n">
        <v>82</v>
      </c>
      <c r="B89" t="s">
        <v>237</v>
      </c>
      <c r="C89" s="151" t="str">
        <f>Extraction!L83</f>
        <v>23MB00265</v>
      </c>
    </row>
    <row r="90">
      <c r="A90" t="n">
        <v>83</v>
      </c>
      <c r="B90" t="s">
        <v>238</v>
      </c>
      <c r="C90" s="151" t="str">
        <f>Extraction!L84</f>
        <v>23MB00266</v>
      </c>
    </row>
    <row r="91">
      <c r="A91" t="n">
        <v>84</v>
      </c>
      <c r="B91" t="s">
        <v>239</v>
      </c>
      <c r="C91" s="152" t="str">
        <f>Extraction!L85</f>
        <v>PR8</v>
      </c>
    </row>
    <row r="92">
      <c r="A92" t="n">
        <v>85</v>
      </c>
      <c r="B92" t="s">
        <v>240</v>
      </c>
      <c r="C92" s="153" t="str">
        <f>Extraction!L86</f>
        <v>23MB00267</v>
      </c>
    </row>
    <row r="93">
      <c r="A93" t="n">
        <v>86</v>
      </c>
      <c r="B93" t="s">
        <v>241</v>
      </c>
      <c r="C93" s="151" t="str">
        <f>Extraction!L87</f>
        <v>23MB00268</v>
      </c>
    </row>
    <row r="94">
      <c r="A94" t="n">
        <v>87</v>
      </c>
      <c r="B94" t="s">
        <v>242</v>
      </c>
      <c r="C94" s="151" t="str">
        <f>Extraction!L88</f>
        <v>23MB00269</v>
      </c>
    </row>
    <row r="95">
      <c r="A95" t="n">
        <v>88</v>
      </c>
      <c r="B95" t="s">
        <v>243</v>
      </c>
      <c r="C95" s="151" t="str">
        <f>Extraction!L89</f>
        <v>23MB00270</v>
      </c>
    </row>
    <row r="96">
      <c r="A96" t="n">
        <v>89</v>
      </c>
      <c r="B96" t="s">
        <v>244</v>
      </c>
      <c r="C96" s="151" t="str">
        <f>Extraction!L90</f>
        <v>23MB00271</v>
      </c>
    </row>
    <row r="97">
      <c r="A97" t="n">
        <v>90</v>
      </c>
      <c r="B97" t="s">
        <v>245</v>
      </c>
      <c r="C97" s="151" t="str">
        <f>Extraction!L91</f>
        <v>23MB00272</v>
      </c>
    </row>
    <row r="98">
      <c r="A98" t="n">
        <v>91</v>
      </c>
      <c r="B98" t="s">
        <v>246</v>
      </c>
      <c r="C98" s="151" t="str">
        <f>Extraction!L92</f>
        <v>23MB00273</v>
      </c>
    </row>
    <row r="99">
      <c r="A99" t="n">
        <v>92</v>
      </c>
      <c r="B99" t="s">
        <v>247</v>
      </c>
      <c r="C99" s="151" t="str">
        <f>Extraction!L93</f>
        <v>23MB00274</v>
      </c>
    </row>
    <row r="100">
      <c r="A100" t="n">
        <v>93</v>
      </c>
      <c r="B100" t="s">
        <v>248</v>
      </c>
      <c r="C100" s="151" t="str">
        <f>Extraction!L94</f>
        <v>23MB00275</v>
      </c>
    </row>
    <row r="101">
      <c r="A101" t="n">
        <v>94</v>
      </c>
      <c r="B101" t="s">
        <v>249</v>
      </c>
      <c r="C101" s="151" t="str">
        <f>Extraction!L95</f>
        <v>23MB00276</v>
      </c>
    </row>
    <row r="102">
      <c r="A102" t="n">
        <v>95</v>
      </c>
      <c r="B102" t="s">
        <v>250</v>
      </c>
      <c r="C102" s="151" t="str">
        <f>Extraction!L96</f>
        <v>23MB00277</v>
      </c>
    </row>
    <row r="103">
      <c r="A103" t="n">
        <v>96</v>
      </c>
      <c r="B103" t="s">
        <v>251</v>
      </c>
      <c r="C103" s="151" t="str">
        <f>Extraction!L97</f>
        <v>PR8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  <c r="Q1" t="s">
        <v>268</v>
      </c>
      <c r="R1" t="s">
        <v>269</v>
      </c>
      <c r="S1" t="s">
        <v>270</v>
      </c>
      <c r="T1" t="s">
        <v>271</v>
      </c>
      <c r="U1" t="s">
        <v>272</v>
      </c>
    </row>
    <row r="2">
      <c r="A2" t="s">
        <v>273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274</v>
      </c>
      <c r="B3" t="s">
        <v>275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276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277</v>
      </c>
      <c r="B5" t="s">
        <v>278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s">
        <v>279</v>
      </c>
      <c r="B6" t="s">
        <v>280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s">
        <v>281</v>
      </c>
      <c r="B7" t="s">
        <v>282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s">
        <v>283</v>
      </c>
      <c r="B8" t="s">
        <v>282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284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>
      <c r="A10" t="s">
        <v>285</v>
      </c>
      <c r="B10" t="s">
        <v>286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287</v>
      </c>
      <c r="B11" t="s">
        <v>288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s">
        <v>289</v>
      </c>
      <c r="B12" t="s">
        <v>290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s">
        <v>291</v>
      </c>
      <c r="B13" t="s">
        <v>292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s">
        <v>293</v>
      </c>
      <c r="B14" t="s">
        <v>294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s">
        <v>295</v>
      </c>
      <c r="B15" t="s">
        <v>296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>
      <c r="A16" t="s">
        <v>297</v>
      </c>
      <c r="B16" t="s">
        <v>298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>
      <c r="A17" t="s">
        <v>299</v>
      </c>
      <c r="B17" t="s">
        <v>300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s">
        <v>301</v>
      </c>
      <c r="B18" t="s">
        <v>302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>
      <c r="A19" t="s">
        <v>303</v>
      </c>
      <c r="B19" t="s">
        <v>304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305</v>
      </c>
      <c r="B20" t="s">
        <v>306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s">
        <v>307</v>
      </c>
      <c r="B21" t="s">
        <v>308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s">
        <v>309</v>
      </c>
      <c r="B22" t="s">
        <v>310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311</v>
      </c>
      <c r="B23" t="s">
        <v>312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313</v>
      </c>
      <c r="B25" t="s">
        <v>314</v>
      </c>
      <c r="C25" t="s">
        <v>315</v>
      </c>
      <c r="D25" t="s">
        <v>316</v>
      </c>
      <c r="E25" t="s">
        <v>317</v>
      </c>
      <c r="F25" t="s">
        <v>318</v>
      </c>
      <c r="G25" t="s">
        <v>319</v>
      </c>
      <c r="H25" t="s">
        <v>320</v>
      </c>
      <c r="I25" t="s">
        <v>321</v>
      </c>
      <c r="J25" t="s">
        <v>322</v>
      </c>
      <c r="K25" t="s">
        <v>323</v>
      </c>
      <c r="L25" t="s">
        <v>324</v>
      </c>
      <c r="M25" t="s">
        <v>325</v>
      </c>
      <c r="N25" t="s">
        <v>326</v>
      </c>
      <c r="O25" t="s">
        <v>327</v>
      </c>
      <c r="P25" t="s">
        <v>328</v>
      </c>
      <c r="Q25" t="s">
        <v>329</v>
      </c>
      <c r="R25" t="s">
        <v>330</v>
      </c>
      <c r="S25" t="s">
        <v>331</v>
      </c>
      <c r="T25" t="s">
        <v>332</v>
      </c>
      <c r="U25" t="s">
        <v>333</v>
      </c>
    </row>
    <row r="26">
      <c r="A26" t="s">
        <v>334</v>
      </c>
      <c r="B26" t="s">
        <v>335</v>
      </c>
      <c r="C26" t="s">
        <v>336</v>
      </c>
      <c r="D26" t="s">
        <v>337</v>
      </c>
      <c r="E26" t="s">
        <v>338</v>
      </c>
      <c r="F26" t="s">
        <v>339</v>
      </c>
      <c r="G26" t="s">
        <v>340</v>
      </c>
      <c r="H26" t="s">
        <v>341</v>
      </c>
      <c r="I26" t="s">
        <v>342</v>
      </c>
      <c r="J26" t="s">
        <v>343</v>
      </c>
      <c r="K26"/>
      <c r="L26"/>
      <c r="M26" t="s">
        <v>344</v>
      </c>
      <c r="N26" t="s">
        <v>343</v>
      </c>
      <c r="O26"/>
      <c r="P26"/>
      <c r="Q26" t="s">
        <v>345</v>
      </c>
      <c r="R26" t="s">
        <v>346</v>
      </c>
      <c r="S26" t="s">
        <v>345</v>
      </c>
      <c r="T26" t="s">
        <v>334</v>
      </c>
      <c r="U26" t="s">
        <v>347</v>
      </c>
    </row>
    <row r="27">
      <c r="A27" t="s">
        <v>348</v>
      </c>
      <c r="B27" t="s">
        <v>349</v>
      </c>
      <c r="C27" t="s">
        <v>336</v>
      </c>
      <c r="D27" t="s">
        <v>350</v>
      </c>
      <c r="E27" t="s">
        <v>338</v>
      </c>
      <c r="F27" t="s">
        <v>339</v>
      </c>
      <c r="G27" t="s">
        <v>340</v>
      </c>
      <c r="H27" t="s">
        <v>341</v>
      </c>
      <c r="I27" t="s">
        <v>342</v>
      </c>
      <c r="J27" t="s">
        <v>343</v>
      </c>
      <c r="K27"/>
      <c r="L27"/>
      <c r="M27" t="s">
        <v>344</v>
      </c>
      <c r="N27" t="s">
        <v>343</v>
      </c>
      <c r="O27"/>
      <c r="P27"/>
      <c r="Q27" t="s">
        <v>345</v>
      </c>
      <c r="R27" t="s">
        <v>346</v>
      </c>
      <c r="S27" t="s">
        <v>345</v>
      </c>
      <c r="T27" t="s">
        <v>334</v>
      </c>
      <c r="U27" t="s">
        <v>347</v>
      </c>
    </row>
    <row r="28">
      <c r="A28" t="s">
        <v>351</v>
      </c>
      <c r="B28" t="s">
        <v>352</v>
      </c>
      <c r="C28" t="s">
        <v>336</v>
      </c>
      <c r="D28" t="s">
        <v>353</v>
      </c>
      <c r="E28" t="s">
        <v>338</v>
      </c>
      <c r="F28" t="s">
        <v>339</v>
      </c>
      <c r="G28" t="s">
        <v>340</v>
      </c>
      <c r="H28" t="s">
        <v>341</v>
      </c>
      <c r="I28" t="s">
        <v>342</v>
      </c>
      <c r="J28" t="s">
        <v>343</v>
      </c>
      <c r="K28"/>
      <c r="L28"/>
      <c r="M28" t="s">
        <v>344</v>
      </c>
      <c r="N28" t="s">
        <v>343</v>
      </c>
      <c r="O28"/>
      <c r="P28"/>
      <c r="Q28" t="s">
        <v>345</v>
      </c>
      <c r="R28" t="s">
        <v>346</v>
      </c>
      <c r="S28" t="s">
        <v>345</v>
      </c>
      <c r="T28" t="s">
        <v>334</v>
      </c>
      <c r="U28" t="s">
        <v>347</v>
      </c>
    </row>
    <row r="29">
      <c r="A29" t="s">
        <v>354</v>
      </c>
      <c r="B29" t="s">
        <v>355</v>
      </c>
      <c r="C29" t="s">
        <v>336</v>
      </c>
      <c r="D29" t="s">
        <v>356</v>
      </c>
      <c r="E29" t="s">
        <v>338</v>
      </c>
      <c r="F29" t="s">
        <v>339</v>
      </c>
      <c r="G29" t="s">
        <v>340</v>
      </c>
      <c r="H29" t="s">
        <v>341</v>
      </c>
      <c r="I29" t="s">
        <v>342</v>
      </c>
      <c r="J29" t="s">
        <v>343</v>
      </c>
      <c r="K29"/>
      <c r="L29"/>
      <c r="M29" t="s">
        <v>344</v>
      </c>
      <c r="N29" t="s">
        <v>343</v>
      </c>
      <c r="O29"/>
      <c r="P29"/>
      <c r="Q29" t="s">
        <v>345</v>
      </c>
      <c r="R29" t="s">
        <v>346</v>
      </c>
      <c r="S29" t="s">
        <v>345</v>
      </c>
      <c r="T29" t="s">
        <v>334</v>
      </c>
      <c r="U29" t="s">
        <v>347</v>
      </c>
    </row>
    <row r="30">
      <c r="A30" t="s">
        <v>357</v>
      </c>
      <c r="B30" t="s">
        <v>358</v>
      </c>
      <c r="C30" t="s">
        <v>336</v>
      </c>
      <c r="D30" t="s">
        <v>359</v>
      </c>
      <c r="E30" t="s">
        <v>338</v>
      </c>
      <c r="F30" t="s">
        <v>339</v>
      </c>
      <c r="G30" t="s">
        <v>340</v>
      </c>
      <c r="H30" t="s">
        <v>341</v>
      </c>
      <c r="I30" t="s">
        <v>342</v>
      </c>
      <c r="J30" t="s">
        <v>343</v>
      </c>
      <c r="K30"/>
      <c r="L30"/>
      <c r="M30" t="s">
        <v>344</v>
      </c>
      <c r="N30" t="s">
        <v>343</v>
      </c>
      <c r="O30"/>
      <c r="P30"/>
      <c r="Q30" t="s">
        <v>345</v>
      </c>
      <c r="R30" t="s">
        <v>346</v>
      </c>
      <c r="S30" t="s">
        <v>345</v>
      </c>
      <c r="T30" t="s">
        <v>334</v>
      </c>
      <c r="U30" t="s">
        <v>347</v>
      </c>
    </row>
    <row r="31">
      <c r="A31" t="s">
        <v>360</v>
      </c>
      <c r="B31" t="s">
        <v>361</v>
      </c>
      <c r="C31" t="s">
        <v>336</v>
      </c>
      <c r="D31" t="s">
        <v>362</v>
      </c>
      <c r="E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343</v>
      </c>
      <c r="K31"/>
      <c r="L31"/>
      <c r="M31" t="s">
        <v>344</v>
      </c>
      <c r="N31" t="s">
        <v>343</v>
      </c>
      <c r="O31"/>
      <c r="P31"/>
      <c r="Q31" t="s">
        <v>345</v>
      </c>
      <c r="R31" t="s">
        <v>346</v>
      </c>
      <c r="S31" t="s">
        <v>345</v>
      </c>
      <c r="T31" t="s">
        <v>334</v>
      </c>
      <c r="U31" t="s">
        <v>347</v>
      </c>
    </row>
    <row r="32">
      <c r="A32" t="s">
        <v>363</v>
      </c>
      <c r="B32" t="s">
        <v>364</v>
      </c>
      <c r="C32" t="s">
        <v>336</v>
      </c>
      <c r="D32" t="s">
        <v>365</v>
      </c>
      <c r="E32" t="s">
        <v>338</v>
      </c>
      <c r="F32" t="s">
        <v>339</v>
      </c>
      <c r="G32" t="s">
        <v>340</v>
      </c>
      <c r="H32" t="s">
        <v>341</v>
      </c>
      <c r="I32" t="s">
        <v>342</v>
      </c>
      <c r="J32" t="s">
        <v>343</v>
      </c>
      <c r="K32"/>
      <c r="L32"/>
      <c r="M32" t="s">
        <v>344</v>
      </c>
      <c r="N32" t="s">
        <v>343</v>
      </c>
      <c r="O32"/>
      <c r="P32"/>
      <c r="Q32" t="s">
        <v>345</v>
      </c>
      <c r="R32" t="s">
        <v>346</v>
      </c>
      <c r="S32" t="s">
        <v>345</v>
      </c>
      <c r="T32" t="s">
        <v>334</v>
      </c>
      <c r="U32" t="s">
        <v>347</v>
      </c>
    </row>
    <row r="33">
      <c r="A33" t="s">
        <v>366</v>
      </c>
      <c r="B33" t="s">
        <v>367</v>
      </c>
      <c r="C33" t="s">
        <v>336</v>
      </c>
      <c r="D33" t="s">
        <v>368</v>
      </c>
      <c r="E33" t="s">
        <v>338</v>
      </c>
      <c r="F33" t="s">
        <v>339</v>
      </c>
      <c r="G33" t="s">
        <v>340</v>
      </c>
      <c r="H33" t="s">
        <v>341</v>
      </c>
      <c r="I33" t="s">
        <v>342</v>
      </c>
      <c r="J33" t="s">
        <v>343</v>
      </c>
      <c r="K33"/>
      <c r="L33"/>
      <c r="M33" t="s">
        <v>344</v>
      </c>
      <c r="N33" t="s">
        <v>343</v>
      </c>
      <c r="O33"/>
      <c r="P33"/>
      <c r="Q33" t="s">
        <v>345</v>
      </c>
      <c r="R33" t="s">
        <v>346</v>
      </c>
      <c r="S33" t="s">
        <v>345</v>
      </c>
      <c r="T33" t="s">
        <v>334</v>
      </c>
      <c r="U33" t="s">
        <v>347</v>
      </c>
    </row>
    <row r="34">
      <c r="A34" t="s">
        <v>369</v>
      </c>
      <c r="B34" t="s">
        <v>370</v>
      </c>
      <c r="C34" t="s">
        <v>336</v>
      </c>
      <c r="D34" t="s">
        <v>371</v>
      </c>
      <c r="E34" t="s">
        <v>338</v>
      </c>
      <c r="F34" t="s">
        <v>339</v>
      </c>
      <c r="G34" t="s">
        <v>340</v>
      </c>
      <c r="H34" t="s">
        <v>341</v>
      </c>
      <c r="I34" t="s">
        <v>342</v>
      </c>
      <c r="J34" t="s">
        <v>343</v>
      </c>
      <c r="K34"/>
      <c r="L34"/>
      <c r="M34" t="s">
        <v>344</v>
      </c>
      <c r="N34" t="s">
        <v>343</v>
      </c>
      <c r="O34"/>
      <c r="P34"/>
      <c r="Q34" t="s">
        <v>345</v>
      </c>
      <c r="R34" t="s">
        <v>346</v>
      </c>
      <c r="S34" t="s">
        <v>345</v>
      </c>
      <c r="T34" t="s">
        <v>334</v>
      </c>
      <c r="U34" t="s">
        <v>347</v>
      </c>
    </row>
    <row r="35">
      <c r="A35" t="s">
        <v>372</v>
      </c>
      <c r="B35" t="s">
        <v>373</v>
      </c>
      <c r="C35" t="s">
        <v>336</v>
      </c>
      <c r="D35" t="s">
        <v>374</v>
      </c>
      <c r="E35" t="s">
        <v>338</v>
      </c>
      <c r="F35" t="s">
        <v>375</v>
      </c>
      <c r="G35" t="s">
        <v>340</v>
      </c>
      <c r="H35" t="s">
        <v>341</v>
      </c>
      <c r="I35" t="s">
        <v>342</v>
      </c>
      <c r="J35" t="s">
        <v>343</v>
      </c>
      <c r="K35"/>
      <c r="L35"/>
      <c r="M35" t="s">
        <v>344</v>
      </c>
      <c r="N35" t="s">
        <v>343</v>
      </c>
      <c r="O35"/>
      <c r="P35"/>
      <c r="Q35" t="s">
        <v>345</v>
      </c>
      <c r="R35" t="s">
        <v>346</v>
      </c>
      <c r="S35" t="s">
        <v>345</v>
      </c>
      <c r="T35" t="s">
        <v>334</v>
      </c>
      <c r="U35" t="s">
        <v>347</v>
      </c>
    </row>
    <row r="36">
      <c r="A36" t="s">
        <v>376</v>
      </c>
      <c r="B36" t="s">
        <v>377</v>
      </c>
      <c r="C36" t="s">
        <v>336</v>
      </c>
      <c r="D36" t="s">
        <v>378</v>
      </c>
      <c r="E36" t="s">
        <v>338</v>
      </c>
      <c r="F36" t="s">
        <v>339</v>
      </c>
      <c r="G36" t="s">
        <v>340</v>
      </c>
      <c r="H36" t="s">
        <v>341</v>
      </c>
      <c r="I36" t="s">
        <v>342</v>
      </c>
      <c r="J36" t="s">
        <v>343</v>
      </c>
      <c r="K36"/>
      <c r="L36"/>
      <c r="M36" t="s">
        <v>344</v>
      </c>
      <c r="N36" t="s">
        <v>343</v>
      </c>
      <c r="O36"/>
      <c r="P36"/>
      <c r="Q36" t="s">
        <v>345</v>
      </c>
      <c r="R36" t="s">
        <v>346</v>
      </c>
      <c r="S36" t="s">
        <v>345</v>
      </c>
      <c r="T36" t="s">
        <v>334</v>
      </c>
      <c r="U36" t="s">
        <v>347</v>
      </c>
    </row>
    <row r="37">
      <c r="A37" t="s">
        <v>379</v>
      </c>
      <c r="B37" t="s">
        <v>380</v>
      </c>
      <c r="C37" t="s">
        <v>336</v>
      </c>
      <c r="D37" t="s">
        <v>381</v>
      </c>
      <c r="E37" t="s">
        <v>338</v>
      </c>
      <c r="F37" t="s">
        <v>339</v>
      </c>
      <c r="G37" t="s">
        <v>340</v>
      </c>
      <c r="H37" t="s">
        <v>341</v>
      </c>
      <c r="I37" t="s">
        <v>342</v>
      </c>
      <c r="J37" t="s">
        <v>382</v>
      </c>
      <c r="K37"/>
      <c r="L37"/>
      <c r="M37" t="s">
        <v>344</v>
      </c>
      <c r="N37" t="s">
        <v>343</v>
      </c>
      <c r="O37"/>
      <c r="P37"/>
      <c r="Q37" t="s">
        <v>345</v>
      </c>
      <c r="R37" t="s">
        <v>346</v>
      </c>
      <c r="S37" t="s">
        <v>345</v>
      </c>
      <c r="T37" t="s">
        <v>334</v>
      </c>
      <c r="U37" t="s">
        <v>383</v>
      </c>
    </row>
    <row r="38">
      <c r="A38" t="s">
        <v>384</v>
      </c>
      <c r="B38" t="s">
        <v>385</v>
      </c>
      <c r="C38" t="s">
        <v>336</v>
      </c>
      <c r="D38" t="s">
        <v>386</v>
      </c>
      <c r="E38" t="s">
        <v>338</v>
      </c>
      <c r="F38" t="s">
        <v>339</v>
      </c>
      <c r="G38" t="s">
        <v>340</v>
      </c>
      <c r="H38" t="s">
        <v>341</v>
      </c>
      <c r="I38" t="s">
        <v>342</v>
      </c>
      <c r="J38" t="s">
        <v>343</v>
      </c>
      <c r="K38"/>
      <c r="L38"/>
      <c r="M38" t="s">
        <v>344</v>
      </c>
      <c r="N38" t="s">
        <v>343</v>
      </c>
      <c r="O38"/>
      <c r="P38"/>
      <c r="Q38" t="s">
        <v>345</v>
      </c>
      <c r="R38" t="s">
        <v>346</v>
      </c>
      <c r="S38" t="s">
        <v>345</v>
      </c>
      <c r="T38" t="s">
        <v>334</v>
      </c>
      <c r="U38" t="s">
        <v>347</v>
      </c>
    </row>
    <row r="39">
      <c r="A39" t="s">
        <v>387</v>
      </c>
      <c r="B39" t="s">
        <v>388</v>
      </c>
      <c r="C39" t="s">
        <v>336</v>
      </c>
      <c r="D39" t="s">
        <v>389</v>
      </c>
      <c r="E39" t="s">
        <v>338</v>
      </c>
      <c r="F39" t="s">
        <v>339</v>
      </c>
      <c r="G39" t="s">
        <v>340</v>
      </c>
      <c r="H39" t="s">
        <v>341</v>
      </c>
      <c r="I39" t="s">
        <v>342</v>
      </c>
      <c r="J39" t="s">
        <v>343</v>
      </c>
      <c r="K39"/>
      <c r="L39"/>
      <c r="M39" t="s">
        <v>344</v>
      </c>
      <c r="N39" t="s">
        <v>343</v>
      </c>
      <c r="O39"/>
      <c r="P39"/>
      <c r="Q39" t="s">
        <v>345</v>
      </c>
      <c r="R39" t="s">
        <v>346</v>
      </c>
      <c r="S39" t="s">
        <v>345</v>
      </c>
      <c r="T39" t="s">
        <v>334</v>
      </c>
      <c r="U39" t="s">
        <v>347</v>
      </c>
    </row>
    <row r="40">
      <c r="A40" t="s">
        <v>390</v>
      </c>
      <c r="B40" t="s">
        <v>391</v>
      </c>
      <c r="C40" t="s">
        <v>336</v>
      </c>
      <c r="D40" t="s">
        <v>392</v>
      </c>
      <c r="E40" t="s">
        <v>338</v>
      </c>
      <c r="F40" t="s">
        <v>339</v>
      </c>
      <c r="G40" t="s">
        <v>340</v>
      </c>
      <c r="H40" t="s">
        <v>341</v>
      </c>
      <c r="I40" t="s">
        <v>342</v>
      </c>
      <c r="J40" t="s">
        <v>343</v>
      </c>
      <c r="K40"/>
      <c r="L40"/>
      <c r="M40" t="s">
        <v>344</v>
      </c>
      <c r="N40" t="s">
        <v>343</v>
      </c>
      <c r="O40"/>
      <c r="P40"/>
      <c r="Q40" t="s">
        <v>345</v>
      </c>
      <c r="R40" t="s">
        <v>346</v>
      </c>
      <c r="S40" t="s">
        <v>345</v>
      </c>
      <c r="T40" t="s">
        <v>334</v>
      </c>
      <c r="U40" t="s">
        <v>347</v>
      </c>
    </row>
    <row r="41">
      <c r="A41" t="s">
        <v>393</v>
      </c>
      <c r="B41" t="s">
        <v>394</v>
      </c>
      <c r="C41" t="s">
        <v>336</v>
      </c>
      <c r="D41" t="s">
        <v>395</v>
      </c>
      <c r="E41" t="s">
        <v>338</v>
      </c>
      <c r="F41" t="s">
        <v>339</v>
      </c>
      <c r="G41" t="s">
        <v>340</v>
      </c>
      <c r="H41" t="s">
        <v>341</v>
      </c>
      <c r="I41" t="s">
        <v>342</v>
      </c>
      <c r="J41" t="s">
        <v>343</v>
      </c>
      <c r="K41"/>
      <c r="L41"/>
      <c r="M41" t="s">
        <v>344</v>
      </c>
      <c r="N41" t="s">
        <v>343</v>
      </c>
      <c r="O41"/>
      <c r="P41"/>
      <c r="Q41" t="s">
        <v>345</v>
      </c>
      <c r="R41" t="s">
        <v>346</v>
      </c>
      <c r="S41" t="s">
        <v>345</v>
      </c>
      <c r="T41" t="s">
        <v>334</v>
      </c>
      <c r="U41" t="s">
        <v>347</v>
      </c>
    </row>
    <row r="42">
      <c r="A42" t="s">
        <v>396</v>
      </c>
      <c r="B42" t="s">
        <v>397</v>
      </c>
      <c r="C42" t="s">
        <v>336</v>
      </c>
      <c r="D42" t="s">
        <v>398</v>
      </c>
      <c r="E42" t="s">
        <v>338</v>
      </c>
      <c r="F42" t="s">
        <v>339</v>
      </c>
      <c r="G42" t="s">
        <v>340</v>
      </c>
      <c r="H42" t="s">
        <v>341</v>
      </c>
      <c r="I42" t="s">
        <v>342</v>
      </c>
      <c r="J42" t="s">
        <v>343</v>
      </c>
      <c r="K42"/>
      <c r="L42"/>
      <c r="M42" t="s">
        <v>344</v>
      </c>
      <c r="N42" t="s">
        <v>343</v>
      </c>
      <c r="O42"/>
      <c r="P42"/>
      <c r="Q42" t="s">
        <v>345</v>
      </c>
      <c r="R42" t="s">
        <v>346</v>
      </c>
      <c r="S42" t="s">
        <v>345</v>
      </c>
      <c r="T42" t="s">
        <v>334</v>
      </c>
      <c r="U42" t="s">
        <v>347</v>
      </c>
    </row>
    <row r="43">
      <c r="A43" t="s">
        <v>399</v>
      </c>
      <c r="B43" t="s">
        <v>400</v>
      </c>
      <c r="C43" t="s">
        <v>336</v>
      </c>
      <c r="D43" t="s">
        <v>401</v>
      </c>
      <c r="E43" t="s">
        <v>338</v>
      </c>
      <c r="F43" t="s">
        <v>339</v>
      </c>
      <c r="G43" t="s">
        <v>340</v>
      </c>
      <c r="H43" t="s">
        <v>341</v>
      </c>
      <c r="I43" t="s">
        <v>342</v>
      </c>
      <c r="J43" t="s">
        <v>343</v>
      </c>
      <c r="K43"/>
      <c r="L43"/>
      <c r="M43" t="s">
        <v>344</v>
      </c>
      <c r="N43" t="s">
        <v>343</v>
      </c>
      <c r="O43"/>
      <c r="P43"/>
      <c r="Q43" t="s">
        <v>345</v>
      </c>
      <c r="R43" t="s">
        <v>346</v>
      </c>
      <c r="S43" t="s">
        <v>345</v>
      </c>
      <c r="T43" t="s">
        <v>334</v>
      </c>
      <c r="U43" t="s">
        <v>347</v>
      </c>
    </row>
    <row r="44">
      <c r="A44" t="s">
        <v>402</v>
      </c>
      <c r="B44" t="s">
        <v>403</v>
      </c>
      <c r="C44" t="s">
        <v>336</v>
      </c>
      <c r="D44" t="s">
        <v>404</v>
      </c>
      <c r="E44" t="s">
        <v>338</v>
      </c>
      <c r="F44" t="s">
        <v>339</v>
      </c>
      <c r="G44" t="s">
        <v>340</v>
      </c>
      <c r="H44" t="s">
        <v>341</v>
      </c>
      <c r="I44" t="s">
        <v>342</v>
      </c>
      <c r="J44" t="s">
        <v>343</v>
      </c>
      <c r="K44"/>
      <c r="L44"/>
      <c r="M44" t="s">
        <v>344</v>
      </c>
      <c r="N44" t="s">
        <v>343</v>
      </c>
      <c r="O44"/>
      <c r="P44"/>
      <c r="Q44" t="s">
        <v>345</v>
      </c>
      <c r="R44" t="s">
        <v>346</v>
      </c>
      <c r="S44" t="s">
        <v>345</v>
      </c>
      <c r="T44" t="s">
        <v>334</v>
      </c>
      <c r="U44" t="s">
        <v>347</v>
      </c>
    </row>
    <row r="45">
      <c r="A45" t="s">
        <v>405</v>
      </c>
      <c r="B45" t="s">
        <v>406</v>
      </c>
      <c r="C45" t="s">
        <v>336</v>
      </c>
      <c r="D45" t="s">
        <v>407</v>
      </c>
      <c r="E45" t="s">
        <v>338</v>
      </c>
      <c r="F45" t="s">
        <v>339</v>
      </c>
      <c r="G45" t="s">
        <v>340</v>
      </c>
      <c r="H45" t="s">
        <v>341</v>
      </c>
      <c r="I45" t="s">
        <v>342</v>
      </c>
      <c r="J45" t="s">
        <v>343</v>
      </c>
      <c r="K45"/>
      <c r="L45"/>
      <c r="M45" t="s">
        <v>344</v>
      </c>
      <c r="N45" t="s">
        <v>343</v>
      </c>
      <c r="O45"/>
      <c r="P45"/>
      <c r="Q45" t="s">
        <v>345</v>
      </c>
      <c r="R45" t="s">
        <v>346</v>
      </c>
      <c r="S45" t="s">
        <v>345</v>
      </c>
      <c r="T45" t="s">
        <v>334</v>
      </c>
      <c r="U45" t="s">
        <v>347</v>
      </c>
    </row>
    <row r="46">
      <c r="A46" t="s">
        <v>408</v>
      </c>
      <c r="B46" t="s">
        <v>409</v>
      </c>
      <c r="C46" t="s">
        <v>336</v>
      </c>
      <c r="D46" t="s">
        <v>410</v>
      </c>
      <c r="E46" t="s">
        <v>338</v>
      </c>
      <c r="F46" t="s">
        <v>339</v>
      </c>
      <c r="G46" t="s">
        <v>340</v>
      </c>
      <c r="H46" t="s">
        <v>341</v>
      </c>
      <c r="I46" t="s">
        <v>342</v>
      </c>
      <c r="J46" t="s">
        <v>343</v>
      </c>
      <c r="K46"/>
      <c r="L46"/>
      <c r="M46" t="s">
        <v>344</v>
      </c>
      <c r="N46" t="s">
        <v>343</v>
      </c>
      <c r="O46"/>
      <c r="P46"/>
      <c r="Q46" t="s">
        <v>345</v>
      </c>
      <c r="R46" t="s">
        <v>346</v>
      </c>
      <c r="S46" t="s">
        <v>345</v>
      </c>
      <c r="T46" t="s">
        <v>334</v>
      </c>
      <c r="U46" t="s">
        <v>347</v>
      </c>
    </row>
    <row r="47">
      <c r="A47" t="s">
        <v>411</v>
      </c>
      <c r="B47" t="s">
        <v>412</v>
      </c>
      <c r="C47" t="s">
        <v>336</v>
      </c>
      <c r="D47" t="s">
        <v>413</v>
      </c>
      <c r="E47" t="s">
        <v>338</v>
      </c>
      <c r="F47" t="s">
        <v>375</v>
      </c>
      <c r="G47" t="s">
        <v>340</v>
      </c>
      <c r="H47" t="s">
        <v>341</v>
      </c>
      <c r="I47" t="s">
        <v>342</v>
      </c>
      <c r="J47" t="s">
        <v>343</v>
      </c>
      <c r="K47"/>
      <c r="L47"/>
      <c r="M47" t="s">
        <v>344</v>
      </c>
      <c r="N47" t="s">
        <v>343</v>
      </c>
      <c r="O47"/>
      <c r="P47"/>
      <c r="Q47" t="s">
        <v>345</v>
      </c>
      <c r="R47" t="s">
        <v>346</v>
      </c>
      <c r="S47" t="s">
        <v>345</v>
      </c>
      <c r="T47" t="s">
        <v>334</v>
      </c>
      <c r="U47" t="s">
        <v>347</v>
      </c>
    </row>
    <row r="48">
      <c r="A48" t="s">
        <v>414</v>
      </c>
      <c r="B48" t="s">
        <v>415</v>
      </c>
      <c r="C48" t="s">
        <v>336</v>
      </c>
      <c r="D48" t="s">
        <v>416</v>
      </c>
      <c r="E48" t="s">
        <v>338</v>
      </c>
      <c r="F48" t="s">
        <v>339</v>
      </c>
      <c r="G48" t="s">
        <v>340</v>
      </c>
      <c r="H48" t="s">
        <v>341</v>
      </c>
      <c r="I48" t="s">
        <v>342</v>
      </c>
      <c r="J48" t="s">
        <v>343</v>
      </c>
      <c r="K48"/>
      <c r="L48"/>
      <c r="M48" t="s">
        <v>344</v>
      </c>
      <c r="N48" t="s">
        <v>343</v>
      </c>
      <c r="O48"/>
      <c r="P48"/>
      <c r="Q48" t="s">
        <v>345</v>
      </c>
      <c r="R48" t="s">
        <v>346</v>
      </c>
      <c r="S48" t="s">
        <v>345</v>
      </c>
      <c r="T48" t="s">
        <v>334</v>
      </c>
      <c r="U48" t="s">
        <v>347</v>
      </c>
    </row>
    <row r="49">
      <c r="A49" t="s">
        <v>417</v>
      </c>
      <c r="B49" t="s">
        <v>418</v>
      </c>
      <c r="C49" t="s">
        <v>336</v>
      </c>
      <c r="D49" t="s">
        <v>419</v>
      </c>
      <c r="E49" t="s">
        <v>338</v>
      </c>
      <c r="F49" t="s">
        <v>339</v>
      </c>
      <c r="G49" t="s">
        <v>340</v>
      </c>
      <c r="H49" t="s">
        <v>341</v>
      </c>
      <c r="I49" t="s">
        <v>342</v>
      </c>
      <c r="J49" t="s">
        <v>343</v>
      </c>
      <c r="K49"/>
      <c r="L49"/>
      <c r="M49" t="s">
        <v>344</v>
      </c>
      <c r="N49" t="s">
        <v>343</v>
      </c>
      <c r="O49"/>
      <c r="P49"/>
      <c r="Q49" t="s">
        <v>345</v>
      </c>
      <c r="R49" t="s">
        <v>346</v>
      </c>
      <c r="S49" t="s">
        <v>345</v>
      </c>
      <c r="T49" t="s">
        <v>334</v>
      </c>
      <c r="U49" t="s">
        <v>347</v>
      </c>
    </row>
    <row r="50">
      <c r="A50" t="s">
        <v>420</v>
      </c>
      <c r="B50" t="s">
        <v>421</v>
      </c>
      <c r="C50" t="s">
        <v>336</v>
      </c>
      <c r="D50" t="s">
        <v>422</v>
      </c>
      <c r="E50" t="s">
        <v>338</v>
      </c>
      <c r="F50" t="s">
        <v>339</v>
      </c>
      <c r="G50" t="s">
        <v>340</v>
      </c>
      <c r="H50" t="s">
        <v>341</v>
      </c>
      <c r="I50" t="s">
        <v>342</v>
      </c>
      <c r="J50" t="s">
        <v>343</v>
      </c>
      <c r="K50"/>
      <c r="L50"/>
      <c r="M50" t="s">
        <v>344</v>
      </c>
      <c r="N50" t="s">
        <v>343</v>
      </c>
      <c r="O50"/>
      <c r="P50"/>
      <c r="Q50" t="s">
        <v>345</v>
      </c>
      <c r="R50" t="s">
        <v>346</v>
      </c>
      <c r="S50" t="s">
        <v>345</v>
      </c>
      <c r="T50" t="s">
        <v>334</v>
      </c>
      <c r="U50" t="s">
        <v>347</v>
      </c>
    </row>
    <row r="51">
      <c r="A51" t="s">
        <v>423</v>
      </c>
      <c r="B51" t="s">
        <v>424</v>
      </c>
      <c r="C51" t="s">
        <v>336</v>
      </c>
      <c r="D51" t="s">
        <v>425</v>
      </c>
      <c r="E51" t="s">
        <v>338</v>
      </c>
      <c r="F51" t="s">
        <v>339</v>
      </c>
      <c r="G51" t="s">
        <v>340</v>
      </c>
      <c r="H51" t="s">
        <v>341</v>
      </c>
      <c r="I51" t="s">
        <v>342</v>
      </c>
      <c r="J51" t="s">
        <v>343</v>
      </c>
      <c r="K51"/>
      <c r="L51"/>
      <c r="M51" t="s">
        <v>344</v>
      </c>
      <c r="N51" t="s">
        <v>343</v>
      </c>
      <c r="O51"/>
      <c r="P51"/>
      <c r="Q51" t="s">
        <v>345</v>
      </c>
      <c r="R51" t="s">
        <v>346</v>
      </c>
      <c r="S51" t="s">
        <v>345</v>
      </c>
      <c r="T51" t="s">
        <v>334</v>
      </c>
      <c r="U51" t="s">
        <v>347</v>
      </c>
    </row>
    <row r="52">
      <c r="A52" t="s">
        <v>426</v>
      </c>
      <c r="B52" t="s">
        <v>427</v>
      </c>
      <c r="C52" t="s">
        <v>336</v>
      </c>
      <c r="D52" t="s">
        <v>428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  <c r="J52" t="s">
        <v>343</v>
      </c>
      <c r="K52"/>
      <c r="L52"/>
      <c r="M52" t="s">
        <v>344</v>
      </c>
      <c r="N52" t="s">
        <v>343</v>
      </c>
      <c r="O52"/>
      <c r="P52"/>
      <c r="Q52" t="s">
        <v>345</v>
      </c>
      <c r="R52" t="s">
        <v>346</v>
      </c>
      <c r="S52" t="s">
        <v>345</v>
      </c>
      <c r="T52" t="s">
        <v>334</v>
      </c>
      <c r="U52" t="s">
        <v>347</v>
      </c>
    </row>
    <row r="53">
      <c r="A53" t="s">
        <v>429</v>
      </c>
      <c r="B53" t="s">
        <v>430</v>
      </c>
      <c r="C53" t="s">
        <v>336</v>
      </c>
      <c r="D53" t="s">
        <v>431</v>
      </c>
      <c r="E53" t="s">
        <v>338</v>
      </c>
      <c r="F53" t="s">
        <v>339</v>
      </c>
      <c r="G53" t="s">
        <v>340</v>
      </c>
      <c r="H53" t="s">
        <v>341</v>
      </c>
      <c r="I53" t="s">
        <v>342</v>
      </c>
      <c r="J53" t="s">
        <v>343</v>
      </c>
      <c r="K53"/>
      <c r="L53"/>
      <c r="M53" t="s">
        <v>344</v>
      </c>
      <c r="N53" t="s">
        <v>343</v>
      </c>
      <c r="O53"/>
      <c r="P53"/>
      <c r="Q53" t="s">
        <v>345</v>
      </c>
      <c r="R53" t="s">
        <v>346</v>
      </c>
      <c r="S53" t="s">
        <v>345</v>
      </c>
      <c r="T53" t="s">
        <v>334</v>
      </c>
      <c r="U53" t="s">
        <v>347</v>
      </c>
    </row>
    <row r="54">
      <c r="A54" t="s">
        <v>432</v>
      </c>
      <c r="B54" t="s">
        <v>433</v>
      </c>
      <c r="C54" t="s">
        <v>336</v>
      </c>
      <c r="D54" t="s">
        <v>434</v>
      </c>
      <c r="E54" t="s">
        <v>338</v>
      </c>
      <c r="F54" t="s">
        <v>339</v>
      </c>
      <c r="G54" t="s">
        <v>340</v>
      </c>
      <c r="H54" t="s">
        <v>341</v>
      </c>
      <c r="I54" t="s">
        <v>342</v>
      </c>
      <c r="J54" t="s">
        <v>343</v>
      </c>
      <c r="K54"/>
      <c r="L54"/>
      <c r="M54" t="s">
        <v>344</v>
      </c>
      <c r="N54" t="s">
        <v>343</v>
      </c>
      <c r="O54"/>
      <c r="P54"/>
      <c r="Q54" t="s">
        <v>345</v>
      </c>
      <c r="R54" t="s">
        <v>346</v>
      </c>
      <c r="S54" t="s">
        <v>345</v>
      </c>
      <c r="T54" t="s">
        <v>334</v>
      </c>
      <c r="U54" t="s">
        <v>347</v>
      </c>
    </row>
    <row r="55">
      <c r="A55" t="s">
        <v>383</v>
      </c>
      <c r="B55" t="s">
        <v>435</v>
      </c>
      <c r="C55" t="s">
        <v>336</v>
      </c>
      <c r="D55" t="s">
        <v>436</v>
      </c>
      <c r="E55" t="s">
        <v>338</v>
      </c>
      <c r="F55" t="s">
        <v>339</v>
      </c>
      <c r="G55" t="s">
        <v>340</v>
      </c>
      <c r="H55" t="s">
        <v>341</v>
      </c>
      <c r="I55" t="s">
        <v>342</v>
      </c>
      <c r="J55" t="s">
        <v>343</v>
      </c>
      <c r="K55"/>
      <c r="L55"/>
      <c r="M55" t="s">
        <v>344</v>
      </c>
      <c r="N55" t="s">
        <v>343</v>
      </c>
      <c r="O55"/>
      <c r="P55"/>
      <c r="Q55" t="s">
        <v>345</v>
      </c>
      <c r="R55" t="s">
        <v>346</v>
      </c>
      <c r="S55" t="s">
        <v>345</v>
      </c>
      <c r="T55" t="s">
        <v>334</v>
      </c>
      <c r="U55" t="s">
        <v>347</v>
      </c>
    </row>
    <row r="56">
      <c r="A56" t="s">
        <v>437</v>
      </c>
      <c r="B56" t="s">
        <v>438</v>
      </c>
      <c r="C56" t="s">
        <v>336</v>
      </c>
      <c r="D56" t="s">
        <v>439</v>
      </c>
      <c r="E56" t="s">
        <v>338</v>
      </c>
      <c r="F56" t="s">
        <v>339</v>
      </c>
      <c r="G56" t="s">
        <v>340</v>
      </c>
      <c r="H56" t="s">
        <v>341</v>
      </c>
      <c r="I56" t="s">
        <v>342</v>
      </c>
      <c r="J56" t="s">
        <v>343</v>
      </c>
      <c r="K56"/>
      <c r="L56"/>
      <c r="M56" t="s">
        <v>344</v>
      </c>
      <c r="N56" t="s">
        <v>343</v>
      </c>
      <c r="O56"/>
      <c r="P56"/>
      <c r="Q56" t="s">
        <v>345</v>
      </c>
      <c r="R56" t="s">
        <v>346</v>
      </c>
      <c r="S56" t="s">
        <v>345</v>
      </c>
      <c r="T56" t="s">
        <v>334</v>
      </c>
      <c r="U56" t="s">
        <v>347</v>
      </c>
    </row>
    <row r="57">
      <c r="A57" t="s">
        <v>440</v>
      </c>
      <c r="B57" t="s">
        <v>441</v>
      </c>
      <c r="C57" t="s">
        <v>336</v>
      </c>
      <c r="D57" t="s">
        <v>442</v>
      </c>
      <c r="E57" t="s">
        <v>338</v>
      </c>
      <c r="F57" t="s">
        <v>339</v>
      </c>
      <c r="G57" t="s">
        <v>340</v>
      </c>
      <c r="H57" t="s">
        <v>341</v>
      </c>
      <c r="I57" t="s">
        <v>342</v>
      </c>
      <c r="J57" t="s">
        <v>343</v>
      </c>
      <c r="K57"/>
      <c r="L57"/>
      <c r="M57" t="s">
        <v>344</v>
      </c>
      <c r="N57" t="s">
        <v>343</v>
      </c>
      <c r="O57"/>
      <c r="P57"/>
      <c r="Q57" t="s">
        <v>345</v>
      </c>
      <c r="R57" t="s">
        <v>346</v>
      </c>
      <c r="S57" t="s">
        <v>345</v>
      </c>
      <c r="T57" t="s">
        <v>334</v>
      </c>
      <c r="U57" t="s">
        <v>347</v>
      </c>
    </row>
    <row r="58">
      <c r="A58" t="s">
        <v>443</v>
      </c>
      <c r="B58" t="s">
        <v>444</v>
      </c>
      <c r="C58" t="s">
        <v>336</v>
      </c>
      <c r="D58" t="s">
        <v>445</v>
      </c>
      <c r="E58" t="s">
        <v>338</v>
      </c>
      <c r="F58" t="s">
        <v>339</v>
      </c>
      <c r="G58" t="s">
        <v>340</v>
      </c>
      <c r="H58" t="s">
        <v>341</v>
      </c>
      <c r="I58" t="s">
        <v>342</v>
      </c>
      <c r="J58" t="s">
        <v>343</v>
      </c>
      <c r="K58"/>
      <c r="L58"/>
      <c r="M58" t="s">
        <v>344</v>
      </c>
      <c r="N58" t="s">
        <v>343</v>
      </c>
      <c r="O58"/>
      <c r="P58"/>
      <c r="Q58" t="s">
        <v>345</v>
      </c>
      <c r="R58" t="s">
        <v>346</v>
      </c>
      <c r="S58" t="s">
        <v>345</v>
      </c>
      <c r="T58" t="s">
        <v>334</v>
      </c>
      <c r="U58" t="s">
        <v>347</v>
      </c>
    </row>
    <row r="59">
      <c r="A59" t="s">
        <v>446</v>
      </c>
      <c r="B59" t="s">
        <v>447</v>
      </c>
      <c r="C59" t="s">
        <v>336</v>
      </c>
      <c r="D59" t="s">
        <v>448</v>
      </c>
      <c r="E59" t="s">
        <v>338</v>
      </c>
      <c r="F59" t="s">
        <v>375</v>
      </c>
      <c r="G59" t="s">
        <v>340</v>
      </c>
      <c r="H59" t="s">
        <v>341</v>
      </c>
      <c r="I59" t="s">
        <v>342</v>
      </c>
      <c r="J59" t="s">
        <v>343</v>
      </c>
      <c r="K59"/>
      <c r="L59"/>
      <c r="M59" t="s">
        <v>344</v>
      </c>
      <c r="N59" t="s">
        <v>343</v>
      </c>
      <c r="O59"/>
      <c r="P59"/>
      <c r="Q59" t="s">
        <v>345</v>
      </c>
      <c r="R59" t="s">
        <v>346</v>
      </c>
      <c r="S59" t="s">
        <v>345</v>
      </c>
      <c r="T59" t="s">
        <v>334</v>
      </c>
      <c r="U59" t="s">
        <v>347</v>
      </c>
    </row>
    <row r="60">
      <c r="A60" t="s">
        <v>449</v>
      </c>
      <c r="B60" t="s">
        <v>450</v>
      </c>
      <c r="C60" t="s">
        <v>336</v>
      </c>
      <c r="D60" t="s">
        <v>451</v>
      </c>
      <c r="E60" t="s">
        <v>338</v>
      </c>
      <c r="F60" t="s">
        <v>339</v>
      </c>
      <c r="G60" t="s">
        <v>340</v>
      </c>
      <c r="H60" t="s">
        <v>341</v>
      </c>
      <c r="I60" t="s">
        <v>342</v>
      </c>
      <c r="J60" t="s">
        <v>343</v>
      </c>
      <c r="K60"/>
      <c r="L60"/>
      <c r="M60" t="s">
        <v>344</v>
      </c>
      <c r="N60" t="s">
        <v>343</v>
      </c>
      <c r="O60"/>
      <c r="P60"/>
      <c r="Q60" t="s">
        <v>345</v>
      </c>
      <c r="R60" t="s">
        <v>346</v>
      </c>
      <c r="S60" t="s">
        <v>345</v>
      </c>
      <c r="T60" t="s">
        <v>334</v>
      </c>
      <c r="U60" t="s">
        <v>347</v>
      </c>
    </row>
    <row r="61">
      <c r="A61" t="s">
        <v>452</v>
      </c>
      <c r="B61" t="s">
        <v>453</v>
      </c>
      <c r="C61" t="s">
        <v>336</v>
      </c>
      <c r="D61" t="s">
        <v>454</v>
      </c>
      <c r="E61" t="s">
        <v>338</v>
      </c>
      <c r="F61" t="s">
        <v>339</v>
      </c>
      <c r="G61" t="s">
        <v>340</v>
      </c>
      <c r="H61" t="s">
        <v>341</v>
      </c>
      <c r="I61" t="s">
        <v>342</v>
      </c>
      <c r="J61" t="s">
        <v>343</v>
      </c>
      <c r="K61"/>
      <c r="L61"/>
      <c r="M61" t="s">
        <v>344</v>
      </c>
      <c r="N61" t="s">
        <v>343</v>
      </c>
      <c r="O61"/>
      <c r="P61"/>
      <c r="Q61" t="s">
        <v>345</v>
      </c>
      <c r="R61" t="s">
        <v>346</v>
      </c>
      <c r="S61" t="s">
        <v>345</v>
      </c>
      <c r="T61" t="s">
        <v>334</v>
      </c>
      <c r="U61" t="s">
        <v>347</v>
      </c>
    </row>
    <row r="62">
      <c r="A62" t="s">
        <v>455</v>
      </c>
      <c r="B62" t="s">
        <v>456</v>
      </c>
      <c r="C62" t="s">
        <v>336</v>
      </c>
      <c r="D62" t="s">
        <v>457</v>
      </c>
      <c r="E62" t="s">
        <v>338</v>
      </c>
      <c r="F62" t="s">
        <v>339</v>
      </c>
      <c r="G62" t="s">
        <v>340</v>
      </c>
      <c r="H62" t="s">
        <v>341</v>
      </c>
      <c r="I62" t="s">
        <v>342</v>
      </c>
      <c r="J62" t="s">
        <v>343</v>
      </c>
      <c r="K62"/>
      <c r="L62"/>
      <c r="M62" t="s">
        <v>344</v>
      </c>
      <c r="N62" t="s">
        <v>343</v>
      </c>
      <c r="O62"/>
      <c r="P62"/>
      <c r="Q62" t="s">
        <v>345</v>
      </c>
      <c r="R62" t="s">
        <v>346</v>
      </c>
      <c r="S62" t="s">
        <v>345</v>
      </c>
      <c r="T62" t="s">
        <v>334</v>
      </c>
      <c r="U62" t="s">
        <v>347</v>
      </c>
    </row>
    <row r="63">
      <c r="A63" t="s">
        <v>458</v>
      </c>
      <c r="B63" t="s">
        <v>459</v>
      </c>
      <c r="C63" t="s">
        <v>336</v>
      </c>
      <c r="D63" t="s">
        <v>460</v>
      </c>
      <c r="E63" t="s">
        <v>338</v>
      </c>
      <c r="F63" t="s">
        <v>339</v>
      </c>
      <c r="G63" t="s">
        <v>340</v>
      </c>
      <c r="H63" t="s">
        <v>341</v>
      </c>
      <c r="I63" t="s">
        <v>342</v>
      </c>
      <c r="J63" t="s">
        <v>343</v>
      </c>
      <c r="K63"/>
      <c r="L63"/>
      <c r="M63" t="s">
        <v>344</v>
      </c>
      <c r="N63" t="s">
        <v>343</v>
      </c>
      <c r="O63"/>
      <c r="P63"/>
      <c r="Q63" t="s">
        <v>345</v>
      </c>
      <c r="R63" t="s">
        <v>346</v>
      </c>
      <c r="S63" t="s">
        <v>345</v>
      </c>
      <c r="T63" t="s">
        <v>334</v>
      </c>
      <c r="U63" t="s">
        <v>347</v>
      </c>
    </row>
    <row r="64">
      <c r="A64" t="s">
        <v>461</v>
      </c>
      <c r="B64" t="s">
        <v>462</v>
      </c>
      <c r="C64" t="s">
        <v>336</v>
      </c>
      <c r="D64" t="s">
        <v>463</v>
      </c>
      <c r="E64" t="s">
        <v>338</v>
      </c>
      <c r="F64" t="s">
        <v>339</v>
      </c>
      <c r="G64" t="s">
        <v>340</v>
      </c>
      <c r="H64" t="s">
        <v>341</v>
      </c>
      <c r="I64" t="s">
        <v>342</v>
      </c>
      <c r="J64" t="s">
        <v>343</v>
      </c>
      <c r="K64"/>
      <c r="L64"/>
      <c r="M64" t="s">
        <v>344</v>
      </c>
      <c r="N64" t="s">
        <v>343</v>
      </c>
      <c r="O64"/>
      <c r="P64"/>
      <c r="Q64" t="s">
        <v>345</v>
      </c>
      <c r="R64" t="s">
        <v>346</v>
      </c>
      <c r="S64" t="s">
        <v>345</v>
      </c>
      <c r="T64" t="s">
        <v>334</v>
      </c>
      <c r="U64" t="s">
        <v>347</v>
      </c>
    </row>
    <row r="65">
      <c r="A65" t="s">
        <v>464</v>
      </c>
      <c r="B65" t="s">
        <v>465</v>
      </c>
      <c r="C65" t="s">
        <v>336</v>
      </c>
      <c r="D65" t="s">
        <v>466</v>
      </c>
      <c r="E65" t="s">
        <v>338</v>
      </c>
      <c r="F65" t="s">
        <v>339</v>
      </c>
      <c r="G65" t="s">
        <v>340</v>
      </c>
      <c r="H65" t="s">
        <v>341</v>
      </c>
      <c r="I65" t="s">
        <v>342</v>
      </c>
      <c r="J65" t="s">
        <v>343</v>
      </c>
      <c r="K65"/>
      <c r="L65"/>
      <c r="M65" t="s">
        <v>344</v>
      </c>
      <c r="N65" t="s">
        <v>343</v>
      </c>
      <c r="O65"/>
      <c r="P65"/>
      <c r="Q65" t="s">
        <v>345</v>
      </c>
      <c r="R65" t="s">
        <v>346</v>
      </c>
      <c r="S65" t="s">
        <v>345</v>
      </c>
      <c r="T65" t="s">
        <v>334</v>
      </c>
      <c r="U65" t="s">
        <v>347</v>
      </c>
    </row>
    <row r="66">
      <c r="A66" t="s">
        <v>467</v>
      </c>
      <c r="B66" t="s">
        <v>468</v>
      </c>
      <c r="C66" t="s">
        <v>336</v>
      </c>
      <c r="D66" t="s">
        <v>469</v>
      </c>
      <c r="E66" t="s">
        <v>338</v>
      </c>
      <c r="F66" t="s">
        <v>339</v>
      </c>
      <c r="G66" t="s">
        <v>340</v>
      </c>
      <c r="H66" t="s">
        <v>341</v>
      </c>
      <c r="I66" t="s">
        <v>342</v>
      </c>
      <c r="J66" t="s">
        <v>343</v>
      </c>
      <c r="K66"/>
      <c r="L66"/>
      <c r="M66" t="s">
        <v>344</v>
      </c>
      <c r="N66" t="s">
        <v>343</v>
      </c>
      <c r="O66"/>
      <c r="P66"/>
      <c r="Q66" t="s">
        <v>345</v>
      </c>
      <c r="R66" t="s">
        <v>346</v>
      </c>
      <c r="S66" t="s">
        <v>345</v>
      </c>
      <c r="T66" t="s">
        <v>334</v>
      </c>
      <c r="U66" t="s">
        <v>347</v>
      </c>
    </row>
    <row r="67">
      <c r="A67" t="s">
        <v>347</v>
      </c>
      <c r="B67" t="s">
        <v>470</v>
      </c>
      <c r="C67" t="s">
        <v>336</v>
      </c>
      <c r="D67" t="s">
        <v>471</v>
      </c>
      <c r="E67" t="s">
        <v>338</v>
      </c>
      <c r="F67" t="s">
        <v>339</v>
      </c>
      <c r="G67" t="s">
        <v>340</v>
      </c>
      <c r="H67" t="s">
        <v>341</v>
      </c>
      <c r="I67" t="s">
        <v>342</v>
      </c>
      <c r="J67" t="s">
        <v>343</v>
      </c>
      <c r="K67"/>
      <c r="L67"/>
      <c r="M67" t="s">
        <v>344</v>
      </c>
      <c r="N67" t="s">
        <v>343</v>
      </c>
      <c r="O67"/>
      <c r="P67"/>
      <c r="Q67" t="s">
        <v>345</v>
      </c>
      <c r="R67" t="s">
        <v>346</v>
      </c>
      <c r="S67" t="s">
        <v>345</v>
      </c>
      <c r="T67" t="s">
        <v>334</v>
      </c>
      <c r="U67" t="s">
        <v>347</v>
      </c>
    </row>
    <row r="68">
      <c r="A68" t="s">
        <v>472</v>
      </c>
      <c r="B68" t="s">
        <v>473</v>
      </c>
      <c r="C68" t="s">
        <v>336</v>
      </c>
      <c r="D68" t="s">
        <v>474</v>
      </c>
      <c r="E68" t="s">
        <v>338</v>
      </c>
      <c r="F68" t="s">
        <v>339</v>
      </c>
      <c r="G68" t="s">
        <v>340</v>
      </c>
      <c r="H68" t="s">
        <v>341</v>
      </c>
      <c r="I68" t="s">
        <v>342</v>
      </c>
      <c r="J68" t="s">
        <v>343</v>
      </c>
      <c r="K68"/>
      <c r="L68"/>
      <c r="M68" t="s">
        <v>344</v>
      </c>
      <c r="N68" t="s">
        <v>343</v>
      </c>
      <c r="O68"/>
      <c r="P68"/>
      <c r="Q68" t="s">
        <v>345</v>
      </c>
      <c r="R68" t="s">
        <v>346</v>
      </c>
      <c r="S68" t="s">
        <v>345</v>
      </c>
      <c r="T68" t="s">
        <v>334</v>
      </c>
      <c r="U68" t="s">
        <v>347</v>
      </c>
    </row>
    <row r="69">
      <c r="A69" t="s">
        <v>475</v>
      </c>
      <c r="B69" t="s">
        <v>476</v>
      </c>
      <c r="C69" t="s">
        <v>336</v>
      </c>
      <c r="D69" t="s">
        <v>477</v>
      </c>
      <c r="E69" t="s">
        <v>338</v>
      </c>
      <c r="F69" t="s">
        <v>339</v>
      </c>
      <c r="G69" t="s">
        <v>340</v>
      </c>
      <c r="H69" t="s">
        <v>341</v>
      </c>
      <c r="I69" t="s">
        <v>342</v>
      </c>
      <c r="J69" t="s">
        <v>343</v>
      </c>
      <c r="K69"/>
      <c r="L69"/>
      <c r="M69" t="s">
        <v>344</v>
      </c>
      <c r="N69" t="s">
        <v>343</v>
      </c>
      <c r="O69"/>
      <c r="P69"/>
      <c r="Q69" t="s">
        <v>345</v>
      </c>
      <c r="R69" t="s">
        <v>346</v>
      </c>
      <c r="S69" t="s">
        <v>345</v>
      </c>
      <c r="T69" t="s">
        <v>334</v>
      </c>
      <c r="U69" t="s">
        <v>347</v>
      </c>
    </row>
    <row r="70">
      <c r="A70" t="s">
        <v>478</v>
      </c>
      <c r="B70" t="s">
        <v>479</v>
      </c>
      <c r="C70" t="s">
        <v>336</v>
      </c>
      <c r="D70" t="s">
        <v>480</v>
      </c>
      <c r="E70" t="s">
        <v>338</v>
      </c>
      <c r="F70" t="s">
        <v>339</v>
      </c>
      <c r="G70" t="s">
        <v>340</v>
      </c>
      <c r="H70" t="s">
        <v>341</v>
      </c>
      <c r="I70" t="s">
        <v>342</v>
      </c>
      <c r="J70" t="s">
        <v>343</v>
      </c>
      <c r="K70"/>
      <c r="L70"/>
      <c r="M70" t="s">
        <v>344</v>
      </c>
      <c r="N70" t="s">
        <v>343</v>
      </c>
      <c r="O70"/>
      <c r="P70"/>
      <c r="Q70" t="s">
        <v>345</v>
      </c>
      <c r="R70" t="s">
        <v>346</v>
      </c>
      <c r="S70" t="s">
        <v>345</v>
      </c>
      <c r="T70" t="s">
        <v>334</v>
      </c>
      <c r="U70" t="s">
        <v>347</v>
      </c>
    </row>
    <row r="71">
      <c r="A71" t="s">
        <v>481</v>
      </c>
      <c r="B71" t="s">
        <v>482</v>
      </c>
      <c r="C71" t="s">
        <v>336</v>
      </c>
      <c r="D71" t="s">
        <v>483</v>
      </c>
      <c r="E71" t="s">
        <v>338</v>
      </c>
      <c r="F71" t="s">
        <v>375</v>
      </c>
      <c r="G71" t="s">
        <v>340</v>
      </c>
      <c r="H71" t="s">
        <v>341</v>
      </c>
      <c r="I71" t="s">
        <v>342</v>
      </c>
      <c r="J71" t="s">
        <v>343</v>
      </c>
      <c r="K71"/>
      <c r="L71"/>
      <c r="M71" t="s">
        <v>344</v>
      </c>
      <c r="N71" t="s">
        <v>343</v>
      </c>
      <c r="O71"/>
      <c r="P71"/>
      <c r="Q71" t="s">
        <v>345</v>
      </c>
      <c r="R71" t="s">
        <v>346</v>
      </c>
      <c r="S71" t="s">
        <v>345</v>
      </c>
      <c r="T71" t="s">
        <v>334</v>
      </c>
      <c r="U71" t="s">
        <v>347</v>
      </c>
    </row>
    <row r="72">
      <c r="A72" t="s">
        <v>484</v>
      </c>
      <c r="B72" t="s">
        <v>485</v>
      </c>
      <c r="C72" t="s">
        <v>336</v>
      </c>
      <c r="D72" t="s">
        <v>486</v>
      </c>
      <c r="E72" t="s">
        <v>338</v>
      </c>
      <c r="F72" t="s">
        <v>339</v>
      </c>
      <c r="G72" t="s">
        <v>340</v>
      </c>
      <c r="H72" t="s">
        <v>341</v>
      </c>
      <c r="I72" t="s">
        <v>342</v>
      </c>
      <c r="J72" t="s">
        <v>343</v>
      </c>
      <c r="K72"/>
      <c r="L72"/>
      <c r="M72" t="s">
        <v>344</v>
      </c>
      <c r="N72" t="s">
        <v>343</v>
      </c>
      <c r="O72"/>
      <c r="P72"/>
      <c r="Q72" t="s">
        <v>345</v>
      </c>
      <c r="R72" t="s">
        <v>346</v>
      </c>
      <c r="S72" t="s">
        <v>345</v>
      </c>
      <c r="T72" t="s">
        <v>334</v>
      </c>
      <c r="U72" t="s">
        <v>347</v>
      </c>
    </row>
    <row r="73">
      <c r="A73" t="s">
        <v>487</v>
      </c>
      <c r="B73" t="s">
        <v>488</v>
      </c>
      <c r="C73" t="s">
        <v>336</v>
      </c>
      <c r="D73" t="s">
        <v>489</v>
      </c>
      <c r="E73" t="s">
        <v>338</v>
      </c>
      <c r="F73" t="s">
        <v>339</v>
      </c>
      <c r="G73" t="s">
        <v>340</v>
      </c>
      <c r="H73" t="s">
        <v>341</v>
      </c>
      <c r="I73" t="s">
        <v>342</v>
      </c>
      <c r="J73" t="s">
        <v>343</v>
      </c>
      <c r="K73"/>
      <c r="L73"/>
      <c r="M73" t="s">
        <v>344</v>
      </c>
      <c r="N73" t="s">
        <v>343</v>
      </c>
      <c r="O73"/>
      <c r="P73"/>
      <c r="Q73" t="s">
        <v>345</v>
      </c>
      <c r="R73" t="s">
        <v>346</v>
      </c>
      <c r="S73" t="s">
        <v>345</v>
      </c>
      <c r="T73" t="s">
        <v>334</v>
      </c>
      <c r="U73" t="s">
        <v>347</v>
      </c>
    </row>
    <row r="74">
      <c r="A74" t="s">
        <v>490</v>
      </c>
      <c r="B74" t="s">
        <v>491</v>
      </c>
      <c r="C74" t="s">
        <v>336</v>
      </c>
      <c r="D74" t="s">
        <v>492</v>
      </c>
      <c r="E74" t="s">
        <v>338</v>
      </c>
      <c r="F74" t="s">
        <v>339</v>
      </c>
      <c r="G74" t="s">
        <v>340</v>
      </c>
      <c r="H74" t="s">
        <v>341</v>
      </c>
      <c r="I74" t="s">
        <v>342</v>
      </c>
      <c r="J74" t="s">
        <v>343</v>
      </c>
      <c r="K74"/>
      <c r="L74"/>
      <c r="M74" t="s">
        <v>344</v>
      </c>
      <c r="N74" t="s">
        <v>343</v>
      </c>
      <c r="O74"/>
      <c r="P74"/>
      <c r="Q74" t="s">
        <v>345</v>
      </c>
      <c r="R74" t="s">
        <v>346</v>
      </c>
      <c r="S74" t="s">
        <v>345</v>
      </c>
      <c r="T74" t="s">
        <v>334</v>
      </c>
      <c r="U74" t="s">
        <v>347</v>
      </c>
    </row>
    <row r="75">
      <c r="A75" t="s">
        <v>493</v>
      </c>
      <c r="B75" t="s">
        <v>494</v>
      </c>
      <c r="C75" t="s">
        <v>336</v>
      </c>
      <c r="D75" t="s">
        <v>495</v>
      </c>
      <c r="E75" t="s">
        <v>338</v>
      </c>
      <c r="F75" t="s">
        <v>339</v>
      </c>
      <c r="G75" t="s">
        <v>340</v>
      </c>
      <c r="H75" t="s">
        <v>341</v>
      </c>
      <c r="I75" t="s">
        <v>342</v>
      </c>
      <c r="J75" t="s">
        <v>343</v>
      </c>
      <c r="K75"/>
      <c r="L75"/>
      <c r="M75" t="s">
        <v>344</v>
      </c>
      <c r="N75" t="s">
        <v>343</v>
      </c>
      <c r="O75"/>
      <c r="P75"/>
      <c r="Q75" t="s">
        <v>345</v>
      </c>
      <c r="R75" t="s">
        <v>346</v>
      </c>
      <c r="S75" t="s">
        <v>345</v>
      </c>
      <c r="T75" t="s">
        <v>334</v>
      </c>
      <c r="U75" t="s">
        <v>347</v>
      </c>
    </row>
    <row r="76">
      <c r="A76" t="s">
        <v>496</v>
      </c>
      <c r="B76" t="s">
        <v>497</v>
      </c>
      <c r="C76" t="s">
        <v>336</v>
      </c>
      <c r="D76" t="s">
        <v>498</v>
      </c>
      <c r="E76" t="s">
        <v>338</v>
      </c>
      <c r="F76" t="s">
        <v>339</v>
      </c>
      <c r="G76" t="s">
        <v>340</v>
      </c>
      <c r="H76" t="s">
        <v>341</v>
      </c>
      <c r="I76" t="s">
        <v>342</v>
      </c>
      <c r="J76" t="s">
        <v>343</v>
      </c>
      <c r="K76"/>
      <c r="L76"/>
      <c r="M76" t="s">
        <v>344</v>
      </c>
      <c r="N76" t="s">
        <v>343</v>
      </c>
      <c r="O76"/>
      <c r="P76"/>
      <c r="Q76" t="s">
        <v>345</v>
      </c>
      <c r="R76" t="s">
        <v>346</v>
      </c>
      <c r="S76" t="s">
        <v>345</v>
      </c>
      <c r="T76" t="s">
        <v>334</v>
      </c>
      <c r="U76" t="s">
        <v>347</v>
      </c>
    </row>
    <row r="77">
      <c r="A77" t="s">
        <v>499</v>
      </c>
      <c r="B77" t="s">
        <v>500</v>
      </c>
      <c r="C77" t="s">
        <v>336</v>
      </c>
      <c r="D77" t="s">
        <v>501</v>
      </c>
      <c r="E77" t="s">
        <v>338</v>
      </c>
      <c r="F77" t="s">
        <v>339</v>
      </c>
      <c r="G77" t="s">
        <v>340</v>
      </c>
      <c r="H77" t="s">
        <v>341</v>
      </c>
      <c r="I77" t="s">
        <v>342</v>
      </c>
      <c r="J77" t="s">
        <v>343</v>
      </c>
      <c r="K77"/>
      <c r="L77"/>
      <c r="M77" t="s">
        <v>344</v>
      </c>
      <c r="N77" t="s">
        <v>343</v>
      </c>
      <c r="O77"/>
      <c r="P77"/>
      <c r="Q77" t="s">
        <v>345</v>
      </c>
      <c r="R77" t="s">
        <v>346</v>
      </c>
      <c r="S77" t="s">
        <v>345</v>
      </c>
      <c r="T77" t="s">
        <v>334</v>
      </c>
      <c r="U77" t="s">
        <v>347</v>
      </c>
    </row>
    <row r="78">
      <c r="A78" t="s">
        <v>502</v>
      </c>
      <c r="B78" t="s">
        <v>503</v>
      </c>
      <c r="C78" t="s">
        <v>336</v>
      </c>
      <c r="D78" t="s">
        <v>504</v>
      </c>
      <c r="E78" t="s">
        <v>338</v>
      </c>
      <c r="F78" t="s">
        <v>339</v>
      </c>
      <c r="G78" t="s">
        <v>340</v>
      </c>
      <c r="H78" t="s">
        <v>341</v>
      </c>
      <c r="I78" t="s">
        <v>342</v>
      </c>
      <c r="J78" t="s">
        <v>343</v>
      </c>
      <c r="K78"/>
      <c r="L78"/>
      <c r="M78" t="s">
        <v>344</v>
      </c>
      <c r="N78" t="s">
        <v>343</v>
      </c>
      <c r="O78"/>
      <c r="P78"/>
      <c r="Q78" t="s">
        <v>345</v>
      </c>
      <c r="R78" t="s">
        <v>346</v>
      </c>
      <c r="S78" t="s">
        <v>345</v>
      </c>
      <c r="T78" t="s">
        <v>334</v>
      </c>
      <c r="U78" t="s">
        <v>347</v>
      </c>
    </row>
    <row r="79">
      <c r="A79" t="s">
        <v>505</v>
      </c>
      <c r="B79" t="s">
        <v>506</v>
      </c>
      <c r="C79" t="s">
        <v>336</v>
      </c>
      <c r="D79" t="s">
        <v>507</v>
      </c>
      <c r="E79" t="s">
        <v>338</v>
      </c>
      <c r="F79" t="s">
        <v>339</v>
      </c>
      <c r="G79" t="s">
        <v>340</v>
      </c>
      <c r="H79" t="s">
        <v>341</v>
      </c>
      <c r="I79" t="s">
        <v>342</v>
      </c>
      <c r="J79" t="s">
        <v>343</v>
      </c>
      <c r="K79"/>
      <c r="L79"/>
      <c r="M79" t="s">
        <v>344</v>
      </c>
      <c r="N79" t="s">
        <v>343</v>
      </c>
      <c r="O79"/>
      <c r="P79"/>
      <c r="Q79" t="s">
        <v>345</v>
      </c>
      <c r="R79" t="s">
        <v>346</v>
      </c>
      <c r="S79" t="s">
        <v>345</v>
      </c>
      <c r="T79" t="s">
        <v>334</v>
      </c>
      <c r="U79" t="s">
        <v>347</v>
      </c>
    </row>
    <row r="80">
      <c r="A80" t="s">
        <v>508</v>
      </c>
      <c r="B80" t="s">
        <v>509</v>
      </c>
      <c r="C80" t="s">
        <v>336</v>
      </c>
      <c r="D80" t="s">
        <v>510</v>
      </c>
      <c r="E80" t="s">
        <v>338</v>
      </c>
      <c r="F80" t="s">
        <v>339</v>
      </c>
      <c r="G80" t="s">
        <v>340</v>
      </c>
      <c r="H80" t="s">
        <v>341</v>
      </c>
      <c r="I80" t="s">
        <v>342</v>
      </c>
      <c r="J80" t="s">
        <v>343</v>
      </c>
      <c r="K80"/>
      <c r="L80"/>
      <c r="M80" t="s">
        <v>344</v>
      </c>
      <c r="N80" t="s">
        <v>343</v>
      </c>
      <c r="O80"/>
      <c r="P80"/>
      <c r="Q80" t="s">
        <v>345</v>
      </c>
      <c r="R80" t="s">
        <v>346</v>
      </c>
      <c r="S80" t="s">
        <v>345</v>
      </c>
      <c r="T80" t="s">
        <v>334</v>
      </c>
      <c r="U80" t="s">
        <v>347</v>
      </c>
    </row>
    <row r="81">
      <c r="A81" t="s">
        <v>511</v>
      </c>
      <c r="B81" t="s">
        <v>512</v>
      </c>
      <c r="C81" t="s">
        <v>336</v>
      </c>
      <c r="D81" t="s">
        <v>513</v>
      </c>
      <c r="E81" t="s">
        <v>338</v>
      </c>
      <c r="F81" t="s">
        <v>339</v>
      </c>
      <c r="G81" t="s">
        <v>340</v>
      </c>
      <c r="H81" t="s">
        <v>341</v>
      </c>
      <c r="I81" t="s">
        <v>342</v>
      </c>
      <c r="J81" t="s">
        <v>343</v>
      </c>
      <c r="K81"/>
      <c r="L81"/>
      <c r="M81" t="s">
        <v>344</v>
      </c>
      <c r="N81" t="s">
        <v>343</v>
      </c>
      <c r="O81"/>
      <c r="P81"/>
      <c r="Q81" t="s">
        <v>345</v>
      </c>
      <c r="R81" t="s">
        <v>346</v>
      </c>
      <c r="S81" t="s">
        <v>345</v>
      </c>
      <c r="T81" t="s">
        <v>334</v>
      </c>
      <c r="U81" t="s">
        <v>347</v>
      </c>
    </row>
    <row r="82">
      <c r="A82" t="s">
        <v>514</v>
      </c>
      <c r="B82" t="s">
        <v>515</v>
      </c>
      <c r="C82" t="s">
        <v>336</v>
      </c>
      <c r="D82" t="s">
        <v>516</v>
      </c>
      <c r="E82" t="s">
        <v>338</v>
      </c>
      <c r="F82" t="s">
        <v>339</v>
      </c>
      <c r="G82" t="s">
        <v>340</v>
      </c>
      <c r="H82" t="s">
        <v>341</v>
      </c>
      <c r="I82" t="s">
        <v>342</v>
      </c>
      <c r="J82" t="s">
        <v>517</v>
      </c>
      <c r="K82"/>
      <c r="L82"/>
      <c r="M82" t="s">
        <v>344</v>
      </c>
      <c r="N82" t="s">
        <v>343</v>
      </c>
      <c r="O82"/>
      <c r="P82"/>
      <c r="Q82" t="s">
        <v>345</v>
      </c>
      <c r="R82" t="s">
        <v>346</v>
      </c>
      <c r="S82" t="s">
        <v>345</v>
      </c>
      <c r="T82" t="s">
        <v>334</v>
      </c>
      <c r="U82" t="s">
        <v>347</v>
      </c>
    </row>
    <row r="83">
      <c r="A83" t="s">
        <v>518</v>
      </c>
      <c r="B83" t="s">
        <v>519</v>
      </c>
      <c r="C83" t="s">
        <v>336</v>
      </c>
      <c r="D83" t="s">
        <v>520</v>
      </c>
      <c r="E83" t="s">
        <v>338</v>
      </c>
      <c r="F83" t="s">
        <v>375</v>
      </c>
      <c r="G83" t="s">
        <v>340</v>
      </c>
      <c r="H83" t="s">
        <v>341</v>
      </c>
      <c r="I83" t="s">
        <v>342</v>
      </c>
      <c r="J83" t="s">
        <v>343</v>
      </c>
      <c r="K83"/>
      <c r="L83"/>
      <c r="M83" t="s">
        <v>344</v>
      </c>
      <c r="N83" t="s">
        <v>343</v>
      </c>
      <c r="O83"/>
      <c r="P83"/>
      <c r="Q83" t="s">
        <v>345</v>
      </c>
      <c r="R83" t="s">
        <v>346</v>
      </c>
      <c r="S83" t="s">
        <v>345</v>
      </c>
      <c r="T83" t="s">
        <v>334</v>
      </c>
      <c r="U83" t="s">
        <v>347</v>
      </c>
    </row>
    <row r="84">
      <c r="A84" t="s">
        <v>521</v>
      </c>
      <c r="B84" t="s">
        <v>522</v>
      </c>
      <c r="C84" t="s">
        <v>336</v>
      </c>
      <c r="D84" t="s">
        <v>523</v>
      </c>
      <c r="E84" t="s">
        <v>338</v>
      </c>
      <c r="F84" t="s">
        <v>339</v>
      </c>
      <c r="G84" t="s">
        <v>340</v>
      </c>
      <c r="H84" t="s">
        <v>341</v>
      </c>
      <c r="I84" t="s">
        <v>342</v>
      </c>
      <c r="J84" t="s">
        <v>343</v>
      </c>
      <c r="K84"/>
      <c r="L84"/>
      <c r="M84" t="s">
        <v>344</v>
      </c>
      <c r="N84" t="s">
        <v>343</v>
      </c>
      <c r="O84"/>
      <c r="P84"/>
      <c r="Q84" t="s">
        <v>345</v>
      </c>
      <c r="R84" t="s">
        <v>346</v>
      </c>
      <c r="S84" t="s">
        <v>345</v>
      </c>
      <c r="T84" t="s">
        <v>334</v>
      </c>
      <c r="U84" t="s">
        <v>347</v>
      </c>
    </row>
    <row r="85">
      <c r="A85" t="s">
        <v>524</v>
      </c>
      <c r="B85" t="s">
        <v>525</v>
      </c>
      <c r="C85" t="s">
        <v>336</v>
      </c>
      <c r="D85" t="s">
        <v>526</v>
      </c>
      <c r="E85" t="s">
        <v>338</v>
      </c>
      <c r="F85" t="s">
        <v>339</v>
      </c>
      <c r="G85" t="s">
        <v>340</v>
      </c>
      <c r="H85" t="s">
        <v>341</v>
      </c>
      <c r="I85" t="s">
        <v>342</v>
      </c>
      <c r="J85" t="s">
        <v>343</v>
      </c>
      <c r="K85"/>
      <c r="L85"/>
      <c r="M85" t="s">
        <v>344</v>
      </c>
      <c r="N85" t="s">
        <v>343</v>
      </c>
      <c r="O85"/>
      <c r="P85"/>
      <c r="Q85" t="s">
        <v>345</v>
      </c>
      <c r="R85" t="s">
        <v>346</v>
      </c>
      <c r="S85" t="s">
        <v>345</v>
      </c>
      <c r="T85" t="s">
        <v>334</v>
      </c>
      <c r="U85" t="s">
        <v>347</v>
      </c>
    </row>
    <row r="86">
      <c r="A86" t="s">
        <v>527</v>
      </c>
      <c r="B86" t="s">
        <v>528</v>
      </c>
      <c r="C86" t="s">
        <v>336</v>
      </c>
      <c r="D86" t="s">
        <v>529</v>
      </c>
      <c r="E86" t="s">
        <v>338</v>
      </c>
      <c r="F86" t="s">
        <v>339</v>
      </c>
      <c r="G86" t="s">
        <v>340</v>
      </c>
      <c r="H86" t="s">
        <v>341</v>
      </c>
      <c r="I86" t="s">
        <v>342</v>
      </c>
      <c r="J86" t="s">
        <v>343</v>
      </c>
      <c r="K86"/>
      <c r="L86"/>
      <c r="M86" t="s">
        <v>344</v>
      </c>
      <c r="N86" t="s">
        <v>343</v>
      </c>
      <c r="O86"/>
      <c r="P86"/>
      <c r="Q86" t="s">
        <v>345</v>
      </c>
      <c r="R86" t="s">
        <v>346</v>
      </c>
      <c r="S86" t="s">
        <v>345</v>
      </c>
      <c r="T86" t="s">
        <v>334</v>
      </c>
      <c r="U86" t="s">
        <v>347</v>
      </c>
    </row>
    <row r="87">
      <c r="A87" t="s">
        <v>530</v>
      </c>
      <c r="B87" t="s">
        <v>531</v>
      </c>
      <c r="C87" t="s">
        <v>336</v>
      </c>
      <c r="D87" t="s">
        <v>532</v>
      </c>
      <c r="E87" t="s">
        <v>338</v>
      </c>
      <c r="F87" t="s">
        <v>339</v>
      </c>
      <c r="G87" t="s">
        <v>340</v>
      </c>
      <c r="H87" t="s">
        <v>341</v>
      </c>
      <c r="I87" t="s">
        <v>342</v>
      </c>
      <c r="J87" t="s">
        <v>343</v>
      </c>
      <c r="K87"/>
      <c r="L87"/>
      <c r="M87" t="s">
        <v>344</v>
      </c>
      <c r="N87" t="s">
        <v>343</v>
      </c>
      <c r="O87"/>
      <c r="P87"/>
      <c r="Q87" t="s">
        <v>345</v>
      </c>
      <c r="R87" t="s">
        <v>346</v>
      </c>
      <c r="S87" t="s">
        <v>345</v>
      </c>
      <c r="T87" t="s">
        <v>334</v>
      </c>
      <c r="U87" t="s">
        <v>347</v>
      </c>
    </row>
    <row r="88">
      <c r="A88" t="s">
        <v>533</v>
      </c>
      <c r="B88" t="s">
        <v>534</v>
      </c>
      <c r="C88" t="s">
        <v>336</v>
      </c>
      <c r="D88" t="s">
        <v>535</v>
      </c>
      <c r="E88" t="s">
        <v>338</v>
      </c>
      <c r="F88" t="s">
        <v>339</v>
      </c>
      <c r="G88" t="s">
        <v>340</v>
      </c>
      <c r="H88" t="s">
        <v>341</v>
      </c>
      <c r="I88" t="s">
        <v>342</v>
      </c>
      <c r="J88" t="s">
        <v>343</v>
      </c>
      <c r="K88"/>
      <c r="L88"/>
      <c r="M88" t="s">
        <v>344</v>
      </c>
      <c r="N88" t="s">
        <v>343</v>
      </c>
      <c r="O88"/>
      <c r="P88"/>
      <c r="Q88" t="s">
        <v>345</v>
      </c>
      <c r="R88" t="s">
        <v>346</v>
      </c>
      <c r="S88" t="s">
        <v>345</v>
      </c>
      <c r="T88" t="s">
        <v>334</v>
      </c>
      <c r="U88" t="s">
        <v>347</v>
      </c>
    </row>
    <row r="89">
      <c r="A89" t="s">
        <v>536</v>
      </c>
      <c r="B89" t="s">
        <v>537</v>
      </c>
      <c r="C89" t="s">
        <v>336</v>
      </c>
      <c r="D89" t="s">
        <v>538</v>
      </c>
      <c r="E89" t="s">
        <v>338</v>
      </c>
      <c r="F89" t="s">
        <v>339</v>
      </c>
      <c r="G89" t="s">
        <v>340</v>
      </c>
      <c r="H89" t="s">
        <v>341</v>
      </c>
      <c r="I89" t="s">
        <v>342</v>
      </c>
      <c r="J89" t="s">
        <v>343</v>
      </c>
      <c r="K89"/>
      <c r="L89"/>
      <c r="M89" t="s">
        <v>344</v>
      </c>
      <c r="N89" t="s">
        <v>343</v>
      </c>
      <c r="O89"/>
      <c r="P89"/>
      <c r="Q89" t="s">
        <v>345</v>
      </c>
      <c r="R89" t="s">
        <v>346</v>
      </c>
      <c r="S89" t="s">
        <v>345</v>
      </c>
      <c r="T89" t="s">
        <v>334</v>
      </c>
      <c r="U89" t="s">
        <v>347</v>
      </c>
    </row>
    <row r="90">
      <c r="A90" t="s">
        <v>539</v>
      </c>
      <c r="B90" t="s">
        <v>540</v>
      </c>
      <c r="C90" t="s">
        <v>336</v>
      </c>
      <c r="D90" t="s">
        <v>541</v>
      </c>
      <c r="E90" t="s">
        <v>338</v>
      </c>
      <c r="F90" t="s">
        <v>339</v>
      </c>
      <c r="G90" t="s">
        <v>340</v>
      </c>
      <c r="H90" t="s">
        <v>341</v>
      </c>
      <c r="I90" t="s">
        <v>342</v>
      </c>
      <c r="J90" t="s">
        <v>343</v>
      </c>
      <c r="K90"/>
      <c r="L90"/>
      <c r="M90" t="s">
        <v>344</v>
      </c>
      <c r="N90" t="s">
        <v>343</v>
      </c>
      <c r="O90"/>
      <c r="P90"/>
      <c r="Q90" t="s">
        <v>345</v>
      </c>
      <c r="R90" t="s">
        <v>346</v>
      </c>
      <c r="S90" t="s">
        <v>345</v>
      </c>
      <c r="T90" t="s">
        <v>334</v>
      </c>
      <c r="U90" t="s">
        <v>347</v>
      </c>
    </row>
    <row r="91">
      <c r="A91" t="s">
        <v>542</v>
      </c>
      <c r="B91" t="s">
        <v>543</v>
      </c>
      <c r="C91" t="s">
        <v>336</v>
      </c>
      <c r="D91" t="s">
        <v>544</v>
      </c>
      <c r="E91" t="s">
        <v>338</v>
      </c>
      <c r="F91" t="s">
        <v>339</v>
      </c>
      <c r="G91" t="s">
        <v>340</v>
      </c>
      <c r="H91" t="s">
        <v>341</v>
      </c>
      <c r="I91" t="s">
        <v>342</v>
      </c>
      <c r="J91" t="s">
        <v>343</v>
      </c>
      <c r="K91"/>
      <c r="L91"/>
      <c r="M91" t="s">
        <v>344</v>
      </c>
      <c r="N91" t="s">
        <v>343</v>
      </c>
      <c r="O91"/>
      <c r="P91"/>
      <c r="Q91" t="s">
        <v>345</v>
      </c>
      <c r="R91" t="s">
        <v>346</v>
      </c>
      <c r="S91" t="s">
        <v>345</v>
      </c>
      <c r="T91" t="s">
        <v>334</v>
      </c>
      <c r="U91" t="s">
        <v>347</v>
      </c>
    </row>
    <row r="92">
      <c r="A92" t="s">
        <v>545</v>
      </c>
      <c r="B92" t="s">
        <v>546</v>
      </c>
      <c r="C92" t="s">
        <v>336</v>
      </c>
      <c r="D92" t="s">
        <v>547</v>
      </c>
      <c r="E92" t="s">
        <v>338</v>
      </c>
      <c r="F92" t="s">
        <v>339</v>
      </c>
      <c r="G92" t="s">
        <v>340</v>
      </c>
      <c r="H92" t="s">
        <v>341</v>
      </c>
      <c r="I92" t="s">
        <v>342</v>
      </c>
      <c r="J92" t="s">
        <v>343</v>
      </c>
      <c r="K92"/>
      <c r="L92"/>
      <c r="M92" t="s">
        <v>344</v>
      </c>
      <c r="N92" t="s">
        <v>343</v>
      </c>
      <c r="O92"/>
      <c r="P92"/>
      <c r="Q92" t="s">
        <v>345</v>
      </c>
      <c r="R92" t="s">
        <v>346</v>
      </c>
      <c r="S92" t="s">
        <v>345</v>
      </c>
      <c r="T92" t="s">
        <v>334</v>
      </c>
      <c r="U92" t="s">
        <v>347</v>
      </c>
    </row>
    <row r="93">
      <c r="A93" t="s">
        <v>548</v>
      </c>
      <c r="B93" t="s">
        <v>549</v>
      </c>
      <c r="C93" t="s">
        <v>336</v>
      </c>
      <c r="D93" t="s">
        <v>550</v>
      </c>
      <c r="E93" t="s">
        <v>338</v>
      </c>
      <c r="F93" t="s">
        <v>339</v>
      </c>
      <c r="G93" t="s">
        <v>340</v>
      </c>
      <c r="H93" t="s">
        <v>341</v>
      </c>
      <c r="I93" t="s">
        <v>342</v>
      </c>
      <c r="J93" t="s">
        <v>343</v>
      </c>
      <c r="K93"/>
      <c r="L93"/>
      <c r="M93" t="s">
        <v>344</v>
      </c>
      <c r="N93" t="s">
        <v>343</v>
      </c>
      <c r="O93"/>
      <c r="P93"/>
      <c r="Q93" t="s">
        <v>345</v>
      </c>
      <c r="R93" t="s">
        <v>346</v>
      </c>
      <c r="S93" t="s">
        <v>345</v>
      </c>
      <c r="T93" t="s">
        <v>334</v>
      </c>
      <c r="U93" t="s">
        <v>347</v>
      </c>
    </row>
    <row r="94">
      <c r="A94" t="s">
        <v>551</v>
      </c>
      <c r="B94" t="s">
        <v>552</v>
      </c>
      <c r="C94" t="s">
        <v>336</v>
      </c>
      <c r="D94" t="s">
        <v>553</v>
      </c>
      <c r="E94" t="s">
        <v>338</v>
      </c>
      <c r="F94" t="s">
        <v>339</v>
      </c>
      <c r="G94" t="s">
        <v>340</v>
      </c>
      <c r="H94" t="s">
        <v>341</v>
      </c>
      <c r="I94" t="s">
        <v>342</v>
      </c>
      <c r="J94" t="s">
        <v>343</v>
      </c>
      <c r="K94"/>
      <c r="L94"/>
      <c r="M94" t="s">
        <v>344</v>
      </c>
      <c r="N94" t="s">
        <v>343</v>
      </c>
      <c r="O94"/>
      <c r="P94"/>
      <c r="Q94" t="s">
        <v>345</v>
      </c>
      <c r="R94" t="s">
        <v>346</v>
      </c>
      <c r="S94" t="s">
        <v>345</v>
      </c>
      <c r="T94" t="s">
        <v>334</v>
      </c>
      <c r="U94" t="s">
        <v>347</v>
      </c>
    </row>
    <row r="95">
      <c r="A95" t="s">
        <v>554</v>
      </c>
      <c r="B95" t="s">
        <v>555</v>
      </c>
      <c r="C95" t="s">
        <v>336</v>
      </c>
      <c r="D95" t="s">
        <v>556</v>
      </c>
      <c r="E95" t="s">
        <v>338</v>
      </c>
      <c r="F95" t="s">
        <v>375</v>
      </c>
      <c r="G95" t="s">
        <v>340</v>
      </c>
      <c r="H95" t="s">
        <v>341</v>
      </c>
      <c r="I95" t="s">
        <v>342</v>
      </c>
      <c r="J95" t="s">
        <v>343</v>
      </c>
      <c r="K95"/>
      <c r="L95"/>
      <c r="M95" t="s">
        <v>344</v>
      </c>
      <c r="N95" t="s">
        <v>343</v>
      </c>
      <c r="O95"/>
      <c r="P95"/>
      <c r="Q95" t="s">
        <v>345</v>
      </c>
      <c r="R95" t="s">
        <v>346</v>
      </c>
      <c r="S95" t="s">
        <v>345</v>
      </c>
      <c r="T95" t="s">
        <v>334</v>
      </c>
      <c r="U95" t="s">
        <v>347</v>
      </c>
    </row>
    <row r="96">
      <c r="A96" t="s">
        <v>557</v>
      </c>
      <c r="B96" t="s">
        <v>558</v>
      </c>
      <c r="C96" t="s">
        <v>336</v>
      </c>
      <c r="D96" t="s">
        <v>559</v>
      </c>
      <c r="E96" t="s">
        <v>338</v>
      </c>
      <c r="F96" t="s">
        <v>339</v>
      </c>
      <c r="G96" t="s">
        <v>340</v>
      </c>
      <c r="H96" t="s">
        <v>341</v>
      </c>
      <c r="I96" t="s">
        <v>342</v>
      </c>
      <c r="J96" t="s">
        <v>343</v>
      </c>
      <c r="K96"/>
      <c r="L96"/>
      <c r="M96" t="s">
        <v>344</v>
      </c>
      <c r="N96" t="s">
        <v>343</v>
      </c>
      <c r="O96"/>
      <c r="P96"/>
      <c r="Q96" t="s">
        <v>345</v>
      </c>
      <c r="R96" t="s">
        <v>346</v>
      </c>
      <c r="S96" t="s">
        <v>345</v>
      </c>
      <c r="T96" t="s">
        <v>334</v>
      </c>
      <c r="U96" t="s">
        <v>347</v>
      </c>
    </row>
    <row r="97">
      <c r="A97" t="s">
        <v>560</v>
      </c>
      <c r="B97" t="s">
        <v>561</v>
      </c>
      <c r="C97" t="s">
        <v>336</v>
      </c>
      <c r="D97" t="s">
        <v>562</v>
      </c>
      <c r="E97" t="s">
        <v>338</v>
      </c>
      <c r="F97" t="s">
        <v>339</v>
      </c>
      <c r="G97" t="s">
        <v>340</v>
      </c>
      <c r="H97" t="s">
        <v>341</v>
      </c>
      <c r="I97" t="s">
        <v>342</v>
      </c>
      <c r="J97" t="s">
        <v>343</v>
      </c>
      <c r="K97"/>
      <c r="L97"/>
      <c r="M97" t="s">
        <v>344</v>
      </c>
      <c r="N97" t="s">
        <v>343</v>
      </c>
      <c r="O97"/>
      <c r="P97"/>
      <c r="Q97" t="s">
        <v>345</v>
      </c>
      <c r="R97" t="s">
        <v>346</v>
      </c>
      <c r="S97" t="s">
        <v>345</v>
      </c>
      <c r="T97" t="s">
        <v>334</v>
      </c>
      <c r="U97" t="s">
        <v>347</v>
      </c>
    </row>
    <row r="98">
      <c r="A98" t="s">
        <v>563</v>
      </c>
      <c r="B98" t="s">
        <v>564</v>
      </c>
      <c r="C98" t="s">
        <v>336</v>
      </c>
      <c r="D98" t="s">
        <v>565</v>
      </c>
      <c r="E98" t="s">
        <v>338</v>
      </c>
      <c r="F98" t="s">
        <v>339</v>
      </c>
      <c r="G98" t="s">
        <v>340</v>
      </c>
      <c r="H98" t="s">
        <v>341</v>
      </c>
      <c r="I98" t="s">
        <v>342</v>
      </c>
      <c r="J98" t="s">
        <v>343</v>
      </c>
      <c r="K98"/>
      <c r="L98"/>
      <c r="M98" t="s">
        <v>344</v>
      </c>
      <c r="N98" t="s">
        <v>343</v>
      </c>
      <c r="O98"/>
      <c r="P98"/>
      <c r="Q98" t="s">
        <v>345</v>
      </c>
      <c r="R98" t="s">
        <v>346</v>
      </c>
      <c r="S98" t="s">
        <v>345</v>
      </c>
      <c r="T98" t="s">
        <v>334</v>
      </c>
      <c r="U98" t="s">
        <v>347</v>
      </c>
    </row>
    <row r="99">
      <c r="A99" t="s">
        <v>566</v>
      </c>
      <c r="B99" t="s">
        <v>567</v>
      </c>
      <c r="C99" t="s">
        <v>336</v>
      </c>
      <c r="D99" t="s">
        <v>568</v>
      </c>
      <c r="E99" t="s">
        <v>338</v>
      </c>
      <c r="F99" t="s">
        <v>339</v>
      </c>
      <c r="G99" t="s">
        <v>340</v>
      </c>
      <c r="H99" t="s">
        <v>341</v>
      </c>
      <c r="I99" t="s">
        <v>342</v>
      </c>
      <c r="J99" t="s">
        <v>343</v>
      </c>
      <c r="K99"/>
      <c r="L99"/>
      <c r="M99" t="s">
        <v>344</v>
      </c>
      <c r="N99" t="s">
        <v>343</v>
      </c>
      <c r="O99"/>
      <c r="P99"/>
      <c r="Q99" t="s">
        <v>345</v>
      </c>
      <c r="R99" t="s">
        <v>346</v>
      </c>
      <c r="S99" t="s">
        <v>345</v>
      </c>
      <c r="T99" t="s">
        <v>334</v>
      </c>
      <c r="U99" t="s">
        <v>347</v>
      </c>
    </row>
    <row r="100">
      <c r="A100" t="s">
        <v>569</v>
      </c>
      <c r="B100" t="s">
        <v>570</v>
      </c>
      <c r="C100" t="s">
        <v>336</v>
      </c>
      <c r="D100" t="s">
        <v>571</v>
      </c>
      <c r="E100" t="s">
        <v>338</v>
      </c>
      <c r="F100" t="s">
        <v>339</v>
      </c>
      <c r="G100" t="s">
        <v>340</v>
      </c>
      <c r="H100" t="s">
        <v>341</v>
      </c>
      <c r="I100" t="s">
        <v>342</v>
      </c>
      <c r="J100" t="s">
        <v>343</v>
      </c>
      <c r="K100"/>
      <c r="L100"/>
      <c r="M100" t="s">
        <v>344</v>
      </c>
      <c r="N100" t="s">
        <v>343</v>
      </c>
      <c r="O100"/>
      <c r="P100"/>
      <c r="Q100" t="s">
        <v>345</v>
      </c>
      <c r="R100" t="s">
        <v>346</v>
      </c>
      <c r="S100" t="s">
        <v>345</v>
      </c>
      <c r="T100" t="s">
        <v>334</v>
      </c>
      <c r="U100" t="s">
        <v>347</v>
      </c>
    </row>
    <row r="101">
      <c r="A101" t="s">
        <v>572</v>
      </c>
      <c r="B101" t="s">
        <v>573</v>
      </c>
      <c r="C101" t="s">
        <v>336</v>
      </c>
      <c r="D101" t="s">
        <v>574</v>
      </c>
      <c r="E101" t="s">
        <v>338</v>
      </c>
      <c r="F101" t="s">
        <v>339</v>
      </c>
      <c r="G101" t="s">
        <v>340</v>
      </c>
      <c r="H101" t="s">
        <v>341</v>
      </c>
      <c r="I101" t="s">
        <v>342</v>
      </c>
      <c r="J101" t="s">
        <v>343</v>
      </c>
      <c r="K101"/>
      <c r="L101"/>
      <c r="M101" t="s">
        <v>344</v>
      </c>
      <c r="N101" t="s">
        <v>343</v>
      </c>
      <c r="O101"/>
      <c r="P101"/>
      <c r="Q101" t="s">
        <v>345</v>
      </c>
      <c r="R101" t="s">
        <v>346</v>
      </c>
      <c r="S101" t="s">
        <v>345</v>
      </c>
      <c r="T101" t="s">
        <v>334</v>
      </c>
      <c r="U101" t="s">
        <v>347</v>
      </c>
    </row>
    <row r="102">
      <c r="A102" t="s">
        <v>575</v>
      </c>
      <c r="B102" t="s">
        <v>576</v>
      </c>
      <c r="C102" t="s">
        <v>336</v>
      </c>
      <c r="D102" t="s">
        <v>577</v>
      </c>
      <c r="E102" t="s">
        <v>338</v>
      </c>
      <c r="F102" t="s">
        <v>339</v>
      </c>
      <c r="G102" t="s">
        <v>340</v>
      </c>
      <c r="H102" t="s">
        <v>341</v>
      </c>
      <c r="I102" t="s">
        <v>342</v>
      </c>
      <c r="J102" t="s">
        <v>343</v>
      </c>
      <c r="K102"/>
      <c r="L102"/>
      <c r="M102" t="s">
        <v>344</v>
      </c>
      <c r="N102" t="s">
        <v>343</v>
      </c>
      <c r="O102"/>
      <c r="P102"/>
      <c r="Q102" t="s">
        <v>345</v>
      </c>
      <c r="R102" t="s">
        <v>346</v>
      </c>
      <c r="S102" t="s">
        <v>345</v>
      </c>
      <c r="T102" t="s">
        <v>334</v>
      </c>
      <c r="U102" t="s">
        <v>347</v>
      </c>
    </row>
    <row r="103">
      <c r="A103" t="s">
        <v>578</v>
      </c>
      <c r="B103" t="s">
        <v>579</v>
      </c>
      <c r="C103" t="s">
        <v>336</v>
      </c>
      <c r="D103" t="s">
        <v>580</v>
      </c>
      <c r="E103" t="s">
        <v>338</v>
      </c>
      <c r="F103" t="s">
        <v>339</v>
      </c>
      <c r="G103" t="s">
        <v>340</v>
      </c>
      <c r="H103" t="s">
        <v>341</v>
      </c>
      <c r="I103" t="s">
        <v>342</v>
      </c>
      <c r="J103" t="s">
        <v>343</v>
      </c>
      <c r="K103"/>
      <c r="L103"/>
      <c r="M103" t="s">
        <v>344</v>
      </c>
      <c r="N103" t="s">
        <v>343</v>
      </c>
      <c r="O103"/>
      <c r="P103"/>
      <c r="Q103" t="s">
        <v>345</v>
      </c>
      <c r="R103" t="s">
        <v>346</v>
      </c>
      <c r="S103" t="s">
        <v>345</v>
      </c>
      <c r="T103" t="s">
        <v>334</v>
      </c>
      <c r="U103" t="s">
        <v>347</v>
      </c>
    </row>
    <row r="104">
      <c r="A104" t="s">
        <v>581</v>
      </c>
      <c r="B104" t="s">
        <v>582</v>
      </c>
      <c r="C104" t="s">
        <v>336</v>
      </c>
      <c r="D104" t="s">
        <v>583</v>
      </c>
      <c r="E104" t="s">
        <v>338</v>
      </c>
      <c r="F104" t="s">
        <v>339</v>
      </c>
      <c r="G104" t="s">
        <v>340</v>
      </c>
      <c r="H104" t="s">
        <v>341</v>
      </c>
      <c r="I104" t="s">
        <v>342</v>
      </c>
      <c r="J104" t="s">
        <v>343</v>
      </c>
      <c r="K104"/>
      <c r="L104"/>
      <c r="M104" t="s">
        <v>344</v>
      </c>
      <c r="N104" t="s">
        <v>343</v>
      </c>
      <c r="O104"/>
      <c r="P104"/>
      <c r="Q104" t="s">
        <v>345</v>
      </c>
      <c r="R104" t="s">
        <v>346</v>
      </c>
      <c r="S104" t="s">
        <v>345</v>
      </c>
      <c r="T104" t="s">
        <v>334</v>
      </c>
      <c r="U104" t="s">
        <v>347</v>
      </c>
    </row>
    <row r="105">
      <c r="A105" t="s">
        <v>584</v>
      </c>
      <c r="B105" t="s">
        <v>585</v>
      </c>
      <c r="C105" t="s">
        <v>336</v>
      </c>
      <c r="D105" t="s">
        <v>586</v>
      </c>
      <c r="E105" t="s">
        <v>338</v>
      </c>
      <c r="F105" t="s">
        <v>339</v>
      </c>
      <c r="G105" t="s">
        <v>340</v>
      </c>
      <c r="H105" t="s">
        <v>341</v>
      </c>
      <c r="I105" t="s">
        <v>342</v>
      </c>
      <c r="J105" t="s">
        <v>343</v>
      </c>
      <c r="K105"/>
      <c r="L105"/>
      <c r="M105" t="s">
        <v>344</v>
      </c>
      <c r="N105" t="s">
        <v>343</v>
      </c>
      <c r="O105"/>
      <c r="P105"/>
      <c r="Q105" t="s">
        <v>345</v>
      </c>
      <c r="R105" t="s">
        <v>346</v>
      </c>
      <c r="S105" t="s">
        <v>345</v>
      </c>
      <c r="T105" t="s">
        <v>334</v>
      </c>
      <c r="U105" t="s">
        <v>347</v>
      </c>
    </row>
    <row r="106">
      <c r="A106" t="s">
        <v>587</v>
      </c>
      <c r="B106" t="s">
        <v>588</v>
      </c>
      <c r="C106" t="s">
        <v>336</v>
      </c>
      <c r="D106" t="s">
        <v>589</v>
      </c>
      <c r="E106" t="s">
        <v>338</v>
      </c>
      <c r="F106" t="s">
        <v>339</v>
      </c>
      <c r="G106" t="s">
        <v>340</v>
      </c>
      <c r="H106" t="s">
        <v>341</v>
      </c>
      <c r="I106" t="s">
        <v>342</v>
      </c>
      <c r="J106" t="s">
        <v>343</v>
      </c>
      <c r="K106"/>
      <c r="L106"/>
      <c r="M106" t="s">
        <v>344</v>
      </c>
      <c r="N106" t="s">
        <v>343</v>
      </c>
      <c r="O106"/>
      <c r="P106"/>
      <c r="Q106" t="s">
        <v>345</v>
      </c>
      <c r="R106" t="s">
        <v>346</v>
      </c>
      <c r="S106" t="s">
        <v>345</v>
      </c>
      <c r="T106" t="s">
        <v>334</v>
      </c>
      <c r="U106" t="s">
        <v>347</v>
      </c>
    </row>
    <row r="107">
      <c r="A107" t="s">
        <v>590</v>
      </c>
      <c r="B107" t="s">
        <v>591</v>
      </c>
      <c r="C107" t="s">
        <v>336</v>
      </c>
      <c r="D107" t="s">
        <v>592</v>
      </c>
      <c r="E107" t="s">
        <v>338</v>
      </c>
      <c r="F107" t="s">
        <v>593</v>
      </c>
      <c r="G107" t="s">
        <v>340</v>
      </c>
      <c r="H107" t="s">
        <v>341</v>
      </c>
      <c r="I107" t="s">
        <v>594</v>
      </c>
      <c r="J107" t="s">
        <v>595</v>
      </c>
      <c r="K107"/>
      <c r="L107"/>
      <c r="M107" t="s">
        <v>596</v>
      </c>
      <c r="N107" t="s">
        <v>597</v>
      </c>
      <c r="O107" t="s">
        <v>598</v>
      </c>
      <c r="P107" t="s">
        <v>599</v>
      </c>
      <c r="Q107" t="s">
        <v>345</v>
      </c>
      <c r="R107" t="s">
        <v>346</v>
      </c>
      <c r="S107" t="s">
        <v>345</v>
      </c>
      <c r="T107" t="s">
        <v>334</v>
      </c>
      <c r="U107" t="s">
        <v>351</v>
      </c>
    </row>
    <row r="108">
      <c r="A108" t="s">
        <v>600</v>
      </c>
      <c r="B108" t="s">
        <v>601</v>
      </c>
      <c r="C108" t="s">
        <v>336</v>
      </c>
      <c r="D108" t="s">
        <v>602</v>
      </c>
      <c r="E108" t="s">
        <v>338</v>
      </c>
      <c r="F108" t="s">
        <v>339</v>
      </c>
      <c r="G108" t="s">
        <v>340</v>
      </c>
      <c r="H108" t="s">
        <v>341</v>
      </c>
      <c r="I108" t="s">
        <v>342</v>
      </c>
      <c r="J108" t="s">
        <v>343</v>
      </c>
      <c r="K108"/>
      <c r="L108"/>
      <c r="M108" t="s">
        <v>344</v>
      </c>
      <c r="N108" t="s">
        <v>343</v>
      </c>
      <c r="O108"/>
      <c r="P108"/>
      <c r="Q108" t="s">
        <v>345</v>
      </c>
      <c r="R108" t="s">
        <v>346</v>
      </c>
      <c r="S108" t="s">
        <v>345</v>
      </c>
      <c r="T108" t="s">
        <v>334</v>
      </c>
      <c r="U108" t="s">
        <v>347</v>
      </c>
    </row>
    <row r="109">
      <c r="A109" t="s">
        <v>603</v>
      </c>
      <c r="B109" t="s">
        <v>604</v>
      </c>
      <c r="C109" t="s">
        <v>336</v>
      </c>
      <c r="D109" t="s">
        <v>605</v>
      </c>
      <c r="E109" t="s">
        <v>338</v>
      </c>
      <c r="F109" t="s">
        <v>339</v>
      </c>
      <c r="G109" t="s">
        <v>340</v>
      </c>
      <c r="H109" t="s">
        <v>341</v>
      </c>
      <c r="I109" t="s">
        <v>342</v>
      </c>
      <c r="J109" t="s">
        <v>343</v>
      </c>
      <c r="K109"/>
      <c r="L109"/>
      <c r="M109" t="s">
        <v>344</v>
      </c>
      <c r="N109" t="s">
        <v>343</v>
      </c>
      <c r="O109"/>
      <c r="P109"/>
      <c r="Q109" t="s">
        <v>345</v>
      </c>
      <c r="R109" t="s">
        <v>346</v>
      </c>
      <c r="S109" t="s">
        <v>345</v>
      </c>
      <c r="T109" t="s">
        <v>334</v>
      </c>
      <c r="U109" t="s">
        <v>347</v>
      </c>
    </row>
    <row r="110">
      <c r="A110" t="s">
        <v>606</v>
      </c>
      <c r="B110" t="s">
        <v>607</v>
      </c>
      <c r="C110" t="s">
        <v>336</v>
      </c>
      <c r="D110" t="s">
        <v>608</v>
      </c>
      <c r="E110" t="s">
        <v>338</v>
      </c>
      <c r="F110" t="s">
        <v>339</v>
      </c>
      <c r="G110" t="s">
        <v>340</v>
      </c>
      <c r="H110" t="s">
        <v>341</v>
      </c>
      <c r="I110" t="s">
        <v>342</v>
      </c>
      <c r="J110" t="s">
        <v>343</v>
      </c>
      <c r="K110"/>
      <c r="L110"/>
      <c r="M110" t="s">
        <v>344</v>
      </c>
      <c r="N110" t="s">
        <v>343</v>
      </c>
      <c r="O110"/>
      <c r="P110"/>
      <c r="Q110" t="s">
        <v>345</v>
      </c>
      <c r="R110" t="s">
        <v>346</v>
      </c>
      <c r="S110" t="s">
        <v>345</v>
      </c>
      <c r="T110" t="s">
        <v>334</v>
      </c>
      <c r="U110" t="s">
        <v>347</v>
      </c>
    </row>
    <row r="111">
      <c r="A111" t="s">
        <v>609</v>
      </c>
      <c r="B111" t="s">
        <v>610</v>
      </c>
      <c r="C111" t="s">
        <v>336</v>
      </c>
      <c r="D111" t="s">
        <v>611</v>
      </c>
      <c r="E111" t="s">
        <v>338</v>
      </c>
      <c r="F111" t="s">
        <v>339</v>
      </c>
      <c r="G111" t="s">
        <v>340</v>
      </c>
      <c r="H111" t="s">
        <v>341</v>
      </c>
      <c r="I111" t="s">
        <v>342</v>
      </c>
      <c r="J111" t="s">
        <v>343</v>
      </c>
      <c r="K111"/>
      <c r="L111"/>
      <c r="M111" t="s">
        <v>344</v>
      </c>
      <c r="N111" t="s">
        <v>343</v>
      </c>
      <c r="O111"/>
      <c r="P111"/>
      <c r="Q111" t="s">
        <v>345</v>
      </c>
      <c r="R111" t="s">
        <v>346</v>
      </c>
      <c r="S111" t="s">
        <v>345</v>
      </c>
      <c r="T111" t="s">
        <v>334</v>
      </c>
      <c r="U111" t="s">
        <v>347</v>
      </c>
    </row>
    <row r="112">
      <c r="A112" t="s">
        <v>612</v>
      </c>
      <c r="B112" t="s">
        <v>613</v>
      </c>
      <c r="C112" t="s">
        <v>336</v>
      </c>
      <c r="D112" t="s">
        <v>614</v>
      </c>
      <c r="E112" t="s">
        <v>338</v>
      </c>
      <c r="F112" t="s">
        <v>339</v>
      </c>
      <c r="G112" t="s">
        <v>340</v>
      </c>
      <c r="H112" t="s">
        <v>341</v>
      </c>
      <c r="I112" t="s">
        <v>342</v>
      </c>
      <c r="J112" t="s">
        <v>343</v>
      </c>
      <c r="K112"/>
      <c r="L112"/>
      <c r="M112" t="s">
        <v>344</v>
      </c>
      <c r="N112" t="s">
        <v>343</v>
      </c>
      <c r="O112"/>
      <c r="P112"/>
      <c r="Q112" t="s">
        <v>345</v>
      </c>
      <c r="R112" t="s">
        <v>346</v>
      </c>
      <c r="S112" t="s">
        <v>345</v>
      </c>
      <c r="T112" t="s">
        <v>334</v>
      </c>
      <c r="U112" t="s">
        <v>347</v>
      </c>
    </row>
    <row r="113">
      <c r="A113" t="s">
        <v>615</v>
      </c>
      <c r="B113" t="s">
        <v>616</v>
      </c>
      <c r="C113" t="s">
        <v>336</v>
      </c>
      <c r="D113" t="s">
        <v>617</v>
      </c>
      <c r="E113" t="s">
        <v>338</v>
      </c>
      <c r="F113" t="s">
        <v>339</v>
      </c>
      <c r="G113" t="s">
        <v>340</v>
      </c>
      <c r="H113" t="s">
        <v>341</v>
      </c>
      <c r="I113" t="s">
        <v>342</v>
      </c>
      <c r="J113" t="s">
        <v>343</v>
      </c>
      <c r="K113"/>
      <c r="L113"/>
      <c r="M113" t="s">
        <v>344</v>
      </c>
      <c r="N113" t="s">
        <v>343</v>
      </c>
      <c r="O113"/>
      <c r="P113"/>
      <c r="Q113" t="s">
        <v>345</v>
      </c>
      <c r="R113" t="s">
        <v>346</v>
      </c>
      <c r="S113" t="s">
        <v>345</v>
      </c>
      <c r="T113" t="s">
        <v>334</v>
      </c>
      <c r="U113" t="s">
        <v>347</v>
      </c>
    </row>
    <row r="114">
      <c r="A114" t="s">
        <v>618</v>
      </c>
      <c r="B114" t="s">
        <v>619</v>
      </c>
      <c r="C114" t="s">
        <v>336</v>
      </c>
      <c r="D114" t="s">
        <v>620</v>
      </c>
      <c r="E114" t="s">
        <v>338</v>
      </c>
      <c r="F114" t="s">
        <v>339</v>
      </c>
      <c r="G114" t="s">
        <v>340</v>
      </c>
      <c r="H114" t="s">
        <v>341</v>
      </c>
      <c r="I114" t="s">
        <v>342</v>
      </c>
      <c r="J114" t="s">
        <v>343</v>
      </c>
      <c r="K114"/>
      <c r="L114"/>
      <c r="M114" t="s">
        <v>344</v>
      </c>
      <c r="N114" t="s">
        <v>343</v>
      </c>
      <c r="O114"/>
      <c r="P114"/>
      <c r="Q114" t="s">
        <v>345</v>
      </c>
      <c r="R114" t="s">
        <v>346</v>
      </c>
      <c r="S114" t="s">
        <v>345</v>
      </c>
      <c r="T114" t="s">
        <v>334</v>
      </c>
      <c r="U114" t="s">
        <v>347</v>
      </c>
    </row>
    <row r="115">
      <c r="A115" t="s">
        <v>621</v>
      </c>
      <c r="B115" t="s">
        <v>622</v>
      </c>
      <c r="C115" t="s">
        <v>336</v>
      </c>
      <c r="D115" t="s">
        <v>623</v>
      </c>
      <c r="E115" t="s">
        <v>338</v>
      </c>
      <c r="F115" t="s">
        <v>339</v>
      </c>
      <c r="G115" t="s">
        <v>340</v>
      </c>
      <c r="H115" t="s">
        <v>341</v>
      </c>
      <c r="I115" t="s">
        <v>342</v>
      </c>
      <c r="J115" t="s">
        <v>343</v>
      </c>
      <c r="K115"/>
      <c r="L115"/>
      <c r="M115" t="s">
        <v>344</v>
      </c>
      <c r="N115" t="s">
        <v>343</v>
      </c>
      <c r="O115"/>
      <c r="P115"/>
      <c r="Q115" t="s">
        <v>345</v>
      </c>
      <c r="R115" t="s">
        <v>346</v>
      </c>
      <c r="S115" t="s">
        <v>345</v>
      </c>
      <c r="T115" t="s">
        <v>334</v>
      </c>
      <c r="U115" t="s">
        <v>347</v>
      </c>
    </row>
    <row r="116">
      <c r="A116" t="s">
        <v>624</v>
      </c>
      <c r="B116" t="s">
        <v>625</v>
      </c>
      <c r="C116" t="s">
        <v>336</v>
      </c>
      <c r="D116" t="s">
        <v>626</v>
      </c>
      <c r="E116" t="s">
        <v>338</v>
      </c>
      <c r="F116" t="s">
        <v>339</v>
      </c>
      <c r="G116" t="s">
        <v>340</v>
      </c>
      <c r="H116" t="s">
        <v>341</v>
      </c>
      <c r="I116" t="s">
        <v>342</v>
      </c>
      <c r="J116" t="s">
        <v>343</v>
      </c>
      <c r="K116"/>
      <c r="L116"/>
      <c r="M116" t="s">
        <v>344</v>
      </c>
      <c r="N116" t="s">
        <v>343</v>
      </c>
      <c r="O116"/>
      <c r="P116"/>
      <c r="Q116" t="s">
        <v>345</v>
      </c>
      <c r="R116" t="s">
        <v>346</v>
      </c>
      <c r="S116" t="s">
        <v>345</v>
      </c>
      <c r="T116" t="s">
        <v>334</v>
      </c>
      <c r="U116" t="s">
        <v>347</v>
      </c>
    </row>
    <row r="117">
      <c r="A117" t="s">
        <v>627</v>
      </c>
      <c r="B117" t="s">
        <v>628</v>
      </c>
      <c r="C117" t="s">
        <v>336</v>
      </c>
      <c r="D117" t="s">
        <v>629</v>
      </c>
      <c r="E117" t="s">
        <v>338</v>
      </c>
      <c r="F117" t="s">
        <v>339</v>
      </c>
      <c r="G117" t="s">
        <v>340</v>
      </c>
      <c r="H117" t="s">
        <v>341</v>
      </c>
      <c r="I117" t="s">
        <v>342</v>
      </c>
      <c r="J117" t="s">
        <v>343</v>
      </c>
      <c r="K117"/>
      <c r="L117"/>
      <c r="M117" t="s">
        <v>344</v>
      </c>
      <c r="N117" t="s">
        <v>343</v>
      </c>
      <c r="O117"/>
      <c r="P117"/>
      <c r="Q117" t="s">
        <v>345</v>
      </c>
      <c r="R117" t="s">
        <v>346</v>
      </c>
      <c r="S117" t="s">
        <v>345</v>
      </c>
      <c r="T117" t="s">
        <v>334</v>
      </c>
      <c r="U117" t="s">
        <v>393</v>
      </c>
    </row>
    <row r="118">
      <c r="A118" t="s">
        <v>630</v>
      </c>
      <c r="B118" t="s">
        <v>631</v>
      </c>
      <c r="C118" t="s">
        <v>336</v>
      </c>
      <c r="D118" t="s">
        <v>632</v>
      </c>
      <c r="E118" t="s">
        <v>338</v>
      </c>
      <c r="F118" t="s">
        <v>339</v>
      </c>
      <c r="G118" t="s">
        <v>340</v>
      </c>
      <c r="H118" t="s">
        <v>341</v>
      </c>
      <c r="I118" t="s">
        <v>342</v>
      </c>
      <c r="J118" t="s">
        <v>343</v>
      </c>
      <c r="K118"/>
      <c r="L118"/>
      <c r="M118" t="s">
        <v>344</v>
      </c>
      <c r="N118" t="s">
        <v>343</v>
      </c>
      <c r="O118"/>
      <c r="P118"/>
      <c r="Q118" t="s">
        <v>345</v>
      </c>
      <c r="R118" t="s">
        <v>346</v>
      </c>
      <c r="S118" t="s">
        <v>345</v>
      </c>
      <c r="T118" t="s">
        <v>334</v>
      </c>
      <c r="U118" t="s">
        <v>347</v>
      </c>
    </row>
    <row r="119">
      <c r="A119" t="s">
        <v>633</v>
      </c>
      <c r="B119" t="s">
        <v>634</v>
      </c>
      <c r="C119" t="s">
        <v>336</v>
      </c>
      <c r="D119" t="s">
        <v>592</v>
      </c>
      <c r="E119" t="s">
        <v>338</v>
      </c>
      <c r="F119" t="s">
        <v>593</v>
      </c>
      <c r="G119" t="s">
        <v>340</v>
      </c>
      <c r="H119" t="s">
        <v>341</v>
      </c>
      <c r="I119" t="s">
        <v>594</v>
      </c>
      <c r="J119" t="s">
        <v>635</v>
      </c>
      <c r="K119"/>
      <c r="L119"/>
      <c r="M119" t="s">
        <v>636</v>
      </c>
      <c r="N119" t="s">
        <v>637</v>
      </c>
      <c r="O119" t="s">
        <v>598</v>
      </c>
      <c r="P119" t="s">
        <v>599</v>
      </c>
      <c r="Q119" t="s">
        <v>345</v>
      </c>
      <c r="R119" t="s">
        <v>346</v>
      </c>
      <c r="S119" t="s">
        <v>345</v>
      </c>
      <c r="T119" t="s">
        <v>334</v>
      </c>
      <c r="U119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Stephanie N Hurd</cp:lastModifiedBy>
  <cp:revision/>
  <dcterms:created xsi:type="dcterms:W3CDTF">2012-06-13T15:20:06Z</dcterms:created>
  <dcterms:modified xsi:type="dcterms:W3CDTF">2024-12-12T15:52:04Z</dcterms:modified>
  <cp:category/>
  <cp:contentStatus/>
</cp:coreProperties>
</file>