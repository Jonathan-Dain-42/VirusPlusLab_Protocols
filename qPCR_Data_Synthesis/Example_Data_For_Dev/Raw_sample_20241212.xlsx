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09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liveumb-my.sharepoint.com/personal/nichola_hill_umb_edu/Documents/Hill_Lab/Screening/Extraction/"/>
    </mc:Choice>
  </mc:AlternateContent>
  <xr:revisionPtr revIDLastSave="115" documentId="8_{D9A9B3F4-6882-754D-BD74-28FBC82AF750}" xr6:coauthVersionLast="47" xr6:coauthVersionMax="47" xr10:uidLastSave="{E3B453E4-9A8B-4DFB-AAC6-FD12805D0C0B}"/>
  <bookViews>
    <workbookView xWindow="0" yWindow="760" windowWidth="30240" windowHeight="18880" tabRatio="531" xr2:uid="{00000000-000D-0000-FFFF-FFFF00000000}"/>
  </bookViews>
  <sheets>
    <sheet name="Extraction" sheetId="1" r:id="rId1"/>
    <sheet name="RTPCR" sheetId="7" r:id="rId2"/>
    <sheet name="QS5" sheetId="8" r:id="rId3"/>
    <sheet name="Sheet1" sheetId="9" r:id="rId4"/>
  </sheets>
  <definedNames>
    <definedName name="_xlnm.Print_Area" localSheetId="0">Extraction!$A$1:$O$97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9" i="1" l="1"/>
  <c r="L60" i="1"/>
  <c r="C103" i="8"/>
  <c r="L86" i="1"/>
  <c r="L95" i="1"/>
  <c r="C101" i="8" s="1"/>
  <c r="L96" i="1"/>
  <c r="C102" i="8" s="1"/>
  <c r="B8" i="1"/>
  <c r="C91" i="8"/>
  <c r="C79" i="8"/>
  <c r="C67" i="8"/>
  <c r="C55" i="8"/>
  <c r="C43" i="8"/>
  <c r="C31" i="8"/>
  <c r="C19" i="8"/>
  <c r="L2" i="1"/>
  <c r="C8" i="8" s="1"/>
  <c r="L3" i="1"/>
  <c r="C9" i="8" s="1"/>
  <c r="L4" i="1"/>
  <c r="C10" i="8" s="1"/>
  <c r="L5" i="1"/>
  <c r="C11" i="8" s="1"/>
  <c r="L6" i="1"/>
  <c r="C12" i="8" s="1"/>
  <c r="L7" i="1"/>
  <c r="C13" i="8" s="1"/>
  <c r="L8" i="1"/>
  <c r="C14" i="8" s="1"/>
  <c r="L9" i="1"/>
  <c r="C15" i="8" s="1"/>
  <c r="L10" i="1"/>
  <c r="C16" i="8" s="1"/>
  <c r="L11" i="1"/>
  <c r="C17" i="8" s="1"/>
  <c r="L12" i="1"/>
  <c r="C18" i="8" s="1"/>
  <c r="L14" i="1"/>
  <c r="C20" i="8" s="1"/>
  <c r="L15" i="1"/>
  <c r="C21" i="8" s="1"/>
  <c r="L16" i="1"/>
  <c r="C22" i="8" s="1"/>
  <c r="L17" i="1"/>
  <c r="C23" i="8" s="1"/>
  <c r="L18" i="1"/>
  <c r="C24" i="8" s="1"/>
  <c r="L19" i="1"/>
  <c r="C25" i="8" s="1"/>
  <c r="L20" i="1"/>
  <c r="C26" i="8" s="1"/>
  <c r="L21" i="1"/>
  <c r="C27" i="8" s="1"/>
  <c r="L22" i="1"/>
  <c r="C28" i="8" s="1"/>
  <c r="L23" i="1"/>
  <c r="C29" i="8" s="1"/>
  <c r="L24" i="1"/>
  <c r="C30" i="8" s="1"/>
  <c r="L17" i="7" l="1"/>
  <c r="K17" i="7"/>
  <c r="L47" i="1"/>
  <c r="C53" i="8" s="1"/>
  <c r="L48" i="1"/>
  <c r="C54" i="8" s="1"/>
  <c r="L94" i="1"/>
  <c r="B4" i="7"/>
  <c r="L93" i="1"/>
  <c r="C99" i="8" s="1"/>
  <c r="L92" i="1"/>
  <c r="C98" i="8" s="1"/>
  <c r="L91" i="1"/>
  <c r="C97" i="8" s="1"/>
  <c r="L90" i="1"/>
  <c r="L89" i="1"/>
  <c r="C95" i="8" s="1"/>
  <c r="L88" i="1"/>
  <c r="C94" i="8" s="1"/>
  <c r="L87" i="1"/>
  <c r="C93" i="8" s="1"/>
  <c r="M16" i="7"/>
  <c r="L84" i="1"/>
  <c r="C90" i="8" s="1"/>
  <c r="L83" i="1"/>
  <c r="L82" i="1"/>
  <c r="C88" i="8" s="1"/>
  <c r="L81" i="1"/>
  <c r="L80" i="1"/>
  <c r="L79" i="1"/>
  <c r="L78" i="1"/>
  <c r="C84" i="8" s="1"/>
  <c r="L77" i="1"/>
  <c r="C83" i="8" s="1"/>
  <c r="L76" i="1"/>
  <c r="L75" i="1"/>
  <c r="C81" i="8" s="1"/>
  <c r="L74" i="1"/>
  <c r="M15" i="7"/>
  <c r="L72" i="1"/>
  <c r="C78" i="8" s="1"/>
  <c r="L71" i="1"/>
  <c r="C77" i="8" s="1"/>
  <c r="L70" i="1"/>
  <c r="C76" i="8" s="1"/>
  <c r="L69" i="1"/>
  <c r="C75" i="8" s="1"/>
  <c r="L68" i="1"/>
  <c r="C74" i="8" s="1"/>
  <c r="L67" i="1"/>
  <c r="C73" i="8" s="1"/>
  <c r="L66" i="1"/>
  <c r="C72" i="8" s="1"/>
  <c r="L65" i="1"/>
  <c r="C71" i="8" s="1"/>
  <c r="L64" i="1"/>
  <c r="C70" i="8" s="1"/>
  <c r="L63" i="1"/>
  <c r="C69" i="8" s="1"/>
  <c r="L62" i="1"/>
  <c r="C68" i="8" s="1"/>
  <c r="M14" i="7"/>
  <c r="C66" i="8"/>
  <c r="C65" i="8"/>
  <c r="L58" i="1"/>
  <c r="C64" i="8" s="1"/>
  <c r="L57" i="1"/>
  <c r="C63" i="8" s="1"/>
  <c r="L56" i="1"/>
  <c r="C62" i="8" s="1"/>
  <c r="L55" i="1"/>
  <c r="C61" i="8" s="1"/>
  <c r="L54" i="1"/>
  <c r="C60" i="8" s="1"/>
  <c r="L53" i="1"/>
  <c r="C59" i="8" s="1"/>
  <c r="L52" i="1"/>
  <c r="C58" i="8" s="1"/>
  <c r="L51" i="1"/>
  <c r="C57" i="8" s="1"/>
  <c r="L50" i="1"/>
  <c r="C56" i="8" s="1"/>
  <c r="M13" i="7"/>
  <c r="L46" i="1"/>
  <c r="C52" i="8" s="1"/>
  <c r="L45" i="1"/>
  <c r="C51" i="8" s="1"/>
  <c r="L44" i="1"/>
  <c r="C50" i="8" s="1"/>
  <c r="L43" i="1"/>
  <c r="C49" i="8" s="1"/>
  <c r="L42" i="1"/>
  <c r="C48" i="8" s="1"/>
  <c r="L41" i="1"/>
  <c r="C47" i="8" s="1"/>
  <c r="L40" i="1"/>
  <c r="C46" i="8" s="1"/>
  <c r="L39" i="1"/>
  <c r="C45" i="8" s="1"/>
  <c r="L38" i="1"/>
  <c r="C44" i="8" s="1"/>
  <c r="M12" i="7"/>
  <c r="L36" i="1"/>
  <c r="C42" i="8" s="1"/>
  <c r="L35" i="1"/>
  <c r="C41" i="8" s="1"/>
  <c r="L34" i="1"/>
  <c r="C40" i="8" s="1"/>
  <c r="L33" i="1"/>
  <c r="C39" i="8" s="1"/>
  <c r="L32" i="1"/>
  <c r="C38" i="8" s="1"/>
  <c r="L31" i="1"/>
  <c r="C37" i="8" s="1"/>
  <c r="L30" i="1"/>
  <c r="C36" i="8" s="1"/>
  <c r="L29" i="1"/>
  <c r="C35" i="8" s="1"/>
  <c r="L28" i="1"/>
  <c r="C34" i="8" s="1"/>
  <c r="L27" i="1"/>
  <c r="C33" i="8" s="1"/>
  <c r="L26" i="1"/>
  <c r="C32" i="8" s="1"/>
  <c r="M11" i="7"/>
  <c r="M10" i="7"/>
  <c r="L10" i="7"/>
  <c r="K10" i="7"/>
  <c r="E16" i="7" l="1"/>
  <c r="F17" i="7"/>
  <c r="C96" i="8"/>
  <c r="B17" i="7"/>
  <c r="C92" i="8"/>
  <c r="H16" i="7"/>
  <c r="C86" i="8"/>
  <c r="J17" i="7"/>
  <c r="C100" i="8"/>
  <c r="B16" i="7"/>
  <c r="C80" i="8"/>
  <c r="I16" i="7"/>
  <c r="C87" i="8"/>
  <c r="D16" i="7"/>
  <c r="C82" i="8"/>
  <c r="G16" i="7"/>
  <c r="C85" i="8"/>
  <c r="K16" i="7"/>
  <c r="C89" i="8"/>
  <c r="F15" i="7"/>
  <c r="L14" i="7"/>
  <c r="J12" i="7"/>
  <c r="B12" i="7"/>
  <c r="C17" i="7"/>
  <c r="L15" i="7"/>
  <c r="C16" i="7"/>
  <c r="I17" i="7"/>
  <c r="B14" i="7"/>
  <c r="H15" i="7"/>
  <c r="G17" i="7"/>
  <c r="G15" i="7"/>
  <c r="I14" i="7"/>
  <c r="D15" i="7"/>
  <c r="K12" i="7"/>
  <c r="G13" i="7"/>
  <c r="B15" i="7"/>
  <c r="G12" i="7"/>
  <c r="L12" i="7"/>
  <c r="H14" i="7"/>
  <c r="K14" i="7"/>
  <c r="H12" i="7"/>
  <c r="E12" i="7"/>
  <c r="E13" i="7"/>
  <c r="I13" i="7"/>
  <c r="C13" i="7"/>
  <c r="J14" i="7"/>
  <c r="H13" i="7"/>
  <c r="K15" i="7"/>
  <c r="B13" i="7"/>
  <c r="J13" i="7"/>
  <c r="C14" i="7"/>
  <c r="G14" i="7"/>
  <c r="J15" i="7"/>
  <c r="E17" i="7"/>
  <c r="L13" i="7"/>
  <c r="K13" i="7"/>
  <c r="H10" i="7"/>
  <c r="I10" i="7"/>
  <c r="I11" i="7"/>
  <c r="F11" i="7"/>
  <c r="J11" i="7"/>
  <c r="B10" i="7"/>
  <c r="C10" i="7"/>
  <c r="C11" i="7"/>
  <c r="G11" i="7"/>
  <c r="K11" i="7"/>
  <c r="H11" i="7"/>
  <c r="L11" i="7"/>
  <c r="I12" i="7"/>
  <c r="D13" i="7"/>
  <c r="B11" i="7"/>
  <c r="G10" i="7"/>
  <c r="E10" i="7"/>
  <c r="I15" i="7"/>
  <c r="C15" i="7"/>
  <c r="L16" i="7"/>
  <c r="D12" i="7"/>
  <c r="D10" i="7"/>
  <c r="F10" i="7"/>
  <c r="J10" i="7"/>
  <c r="E11" i="7"/>
  <c r="C12" i="7"/>
  <c r="F13" i="7"/>
  <c r="D14" i="7"/>
  <c r="F14" i="7"/>
  <c r="E15" i="7"/>
  <c r="D17" i="7"/>
  <c r="H17" i="7"/>
  <c r="D11" i="7"/>
  <c r="F12" i="7"/>
  <c r="E14" i="7"/>
  <c r="J16" i="7"/>
  <c r="F16" i="7"/>
</calcChain>
</file>

<file path=xl/sharedStrings.xml><?xml version="1.0" encoding="utf-8"?>
<sst xmlns="http://schemas.openxmlformats.org/spreadsheetml/2006/main" count="358" uniqueCount="252">
  <si>
    <t>RNA-DNA extraction</t>
  </si>
  <si>
    <t>Samples</t>
  </si>
  <si>
    <t>Sample Identifier</t>
  </si>
  <si>
    <t>extraction notes</t>
  </si>
  <si>
    <t>Row</t>
  </si>
  <si>
    <t>Column</t>
  </si>
  <si>
    <t>Date</t>
  </si>
  <si>
    <t>20241212</t>
  </si>
  <si>
    <t>date this plate was extracted: YYYYMMDD</t>
  </si>
  <si>
    <t>22MB00150</t>
  </si>
  <si>
    <t>A</t>
  </si>
  <si>
    <t>22MB00151</t>
  </si>
  <si>
    <t>Plate #</t>
  </si>
  <si>
    <t>plate number (if multiple on same day)</t>
  </si>
  <si>
    <t>22MB00152</t>
  </si>
  <si>
    <t>22MB00153</t>
  </si>
  <si>
    <t>Initials</t>
  </si>
  <si>
    <t>SNH</t>
  </si>
  <si>
    <t>initials of extractor</t>
  </si>
  <si>
    <t>22MB00154</t>
  </si>
  <si>
    <t>22MB00155</t>
  </si>
  <si>
    <t>22MB00156</t>
  </si>
  <si>
    <t>22MB00157</t>
  </si>
  <si>
    <t>Plate notes</t>
  </si>
  <si>
    <t>Samples are from season 2022 in Cordova, AK (samples 22MB00150 - 22MB00160). *Will add 300ul VTM to 2022 Cordova samples due to faulty vials and leakage. Rest of samples are from season 2023 in Cordova, AK (samples 23MB00201 - 23MB00277</t>
  </si>
  <si>
    <t>22MB00158</t>
  </si>
  <si>
    <t>22MB00159</t>
  </si>
  <si>
    <t>22MB00160</t>
  </si>
  <si>
    <t>23MB00201</t>
  </si>
  <si>
    <t>VTM-1</t>
  </si>
  <si>
    <t>negative control</t>
  </si>
  <si>
    <t>23MB00202</t>
  </si>
  <si>
    <t>B</t>
  </si>
  <si>
    <t>23MB00203</t>
  </si>
  <si>
    <t>23MB00204</t>
  </si>
  <si>
    <t>23MB00205</t>
  </si>
  <si>
    <t>23MB00206</t>
  </si>
  <si>
    <t>23MB00207</t>
  </si>
  <si>
    <t>23MB00208</t>
  </si>
  <si>
    <t>23MB00209</t>
  </si>
  <si>
    <t>23MB00210</t>
  </si>
  <si>
    <t>Extraction kit</t>
  </si>
  <si>
    <t>Omega Bio-tek Universal Pathogen Core Kit</t>
  </si>
  <si>
    <t>23MB00211</t>
  </si>
  <si>
    <t>23MB00212</t>
  </si>
  <si>
    <t>23MB00213</t>
  </si>
  <si>
    <t>VTM-2</t>
  </si>
  <si>
    <t>23MB00214</t>
  </si>
  <si>
    <t>C</t>
  </si>
  <si>
    <t>23MB00215</t>
  </si>
  <si>
    <t>23MB00216</t>
  </si>
  <si>
    <t>23MB00217</t>
  </si>
  <si>
    <t>23MB00218</t>
  </si>
  <si>
    <t>23MB00219</t>
  </si>
  <si>
    <t>23MB00220</t>
  </si>
  <si>
    <t>23MB00221</t>
  </si>
  <si>
    <t>23MB00222</t>
  </si>
  <si>
    <t>23MB00223</t>
  </si>
  <si>
    <t>23MB00224</t>
  </si>
  <si>
    <t>23MB00225</t>
  </si>
  <si>
    <t>VTM-3</t>
  </si>
  <si>
    <t>23MB00226</t>
  </si>
  <si>
    <t>D</t>
  </si>
  <si>
    <t>23MB00227</t>
  </si>
  <si>
    <t>23MB00228</t>
  </si>
  <si>
    <t>23MB00229</t>
  </si>
  <si>
    <t>23MB00230</t>
  </si>
  <si>
    <t>23MB00231</t>
  </si>
  <si>
    <t>23MB00232</t>
  </si>
  <si>
    <t>23MB00233</t>
  </si>
  <si>
    <t>23MB00234</t>
  </si>
  <si>
    <t>23MB00235</t>
  </si>
  <si>
    <t>23MB00236</t>
  </si>
  <si>
    <t>23MB00237</t>
  </si>
  <si>
    <t>VTM-4</t>
  </si>
  <si>
    <t>23MB00238</t>
  </si>
  <si>
    <t>E</t>
  </si>
  <si>
    <t>23MB00239</t>
  </si>
  <si>
    <t>23MB00240</t>
  </si>
  <si>
    <t>23MB00241</t>
  </si>
  <si>
    <t>23MB00242</t>
  </si>
  <si>
    <t>23MB00243</t>
  </si>
  <si>
    <t>23MB00244</t>
  </si>
  <si>
    <t>23MB00245</t>
  </si>
  <si>
    <t>23MB00246</t>
  </si>
  <si>
    <t>23MB00247</t>
  </si>
  <si>
    <t>23MB00248</t>
  </si>
  <si>
    <t>23MB00249</t>
  </si>
  <si>
    <t>VTM-5</t>
  </si>
  <si>
    <t>23MB00250</t>
  </si>
  <si>
    <t>F</t>
  </si>
  <si>
    <t>23MB00251</t>
  </si>
  <si>
    <t>23MB00252</t>
  </si>
  <si>
    <t>23MB00253</t>
  </si>
  <si>
    <t>23MB00254</t>
  </si>
  <si>
    <t>23MB00255</t>
  </si>
  <si>
    <t>23MB00256</t>
  </si>
  <si>
    <t>23MB00257</t>
  </si>
  <si>
    <t>23MB00258</t>
  </si>
  <si>
    <t>23MB00259</t>
  </si>
  <si>
    <t>23MB00260</t>
  </si>
  <si>
    <t>23MB00261</t>
  </si>
  <si>
    <t>VTM-6</t>
  </si>
  <si>
    <t>23MB00262</t>
  </si>
  <si>
    <t>G</t>
  </si>
  <si>
    <t>23MB00263</t>
  </si>
  <si>
    <t>23MB00264</t>
  </si>
  <si>
    <t>23MB00265</t>
  </si>
  <si>
    <t>23MB00266</t>
  </si>
  <si>
    <t>23MB00267</t>
  </si>
  <si>
    <t>23MB00268</t>
  </si>
  <si>
    <t>23MB00269</t>
  </si>
  <si>
    <t>23MB00270</t>
  </si>
  <si>
    <t>23MB00271</t>
  </si>
  <si>
    <t>23MB00272</t>
  </si>
  <si>
    <t>23MB00273</t>
  </si>
  <si>
    <t>PR8</t>
  </si>
  <si>
    <t>Extraction pos. control (virus)</t>
  </si>
  <si>
    <t>23MB00274</t>
  </si>
  <si>
    <t>H</t>
  </si>
  <si>
    <t>23MB00275</t>
  </si>
  <si>
    <t>23MB00276</t>
  </si>
  <si>
    <t>23MB00277</t>
  </si>
  <si>
    <t>RT-PCR pos. control (RNA)</t>
  </si>
  <si>
    <t>RT-PCR</t>
  </si>
  <si>
    <t>Plate Name</t>
  </si>
  <si>
    <t>Reagent notes</t>
  </si>
  <si>
    <t>Reagent</t>
  </si>
  <si>
    <t>Calculations</t>
  </si>
  <si>
    <r>
      <t xml:space="preserve">Date written on label            </t>
    </r>
    <r>
      <rPr>
        <sz val="10"/>
        <rFont val="Arial"/>
        <family val="2"/>
      </rPr>
      <t>(1st aliquot/bottle)</t>
    </r>
  </si>
  <si>
    <r>
      <t xml:space="preserve">Date written on label      </t>
    </r>
    <r>
      <rPr>
        <sz val="10"/>
        <rFont val="Arial"/>
        <family val="2"/>
      </rPr>
      <t xml:space="preserve">                          (2nd aliquot/bottle)</t>
    </r>
  </si>
  <si>
    <r>
      <t xml:space="preserve">Date written on label        </t>
    </r>
    <r>
      <rPr>
        <sz val="10"/>
        <rFont val="Arial"/>
        <family val="2"/>
      </rPr>
      <t xml:space="preserve">                (3rd aliquot/bottle)</t>
    </r>
  </si>
  <si>
    <t>Toughmix</t>
  </si>
  <si>
    <t>nuclease-free water</t>
  </si>
  <si>
    <t>forward primer</t>
  </si>
  <si>
    <t>reverse primer</t>
  </si>
  <si>
    <t>probe</t>
  </si>
  <si>
    <t>cDNA positive control (PR8)</t>
  </si>
  <si>
    <t>* Block Type = 96-Well 0.1-mL Block</t>
  </si>
  <si>
    <t>* Date Created = Wed Jan 04 12:44:52 EST 2023</t>
  </si>
  <si>
    <t>* Passive Reference = ROX</t>
  </si>
  <si>
    <t xml:space="preserve">* Barcode = </t>
  </si>
  <si>
    <t>[Sample Setup]</t>
  </si>
  <si>
    <t>Well</t>
  </si>
  <si>
    <t>Well Position</t>
  </si>
  <si>
    <t>Sample Name</t>
  </si>
  <si>
    <t>Sample Color</t>
  </si>
  <si>
    <t>Biogroup Name</t>
  </si>
  <si>
    <t>Biogroup Color</t>
  </si>
  <si>
    <t>Target Name</t>
  </si>
  <si>
    <t>Target Color</t>
  </si>
  <si>
    <t>Task</t>
  </si>
  <si>
    <t>Reporter</t>
  </si>
  <si>
    <t>Quencher</t>
  </si>
  <si>
    <t>Quantity</t>
  </si>
  <si>
    <t>Comments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</si>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</sst>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0000"/>
  </numFmts>
  <fonts count="17"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4"/>
      <name val="Calibri"/>
      <family val="2"/>
      <scheme val="minor"/>
    </font>
    <font>
      <b/>
      <sz val="20"/>
      <name val="Arial"/>
      <family val="2"/>
    </font>
    <font>
      <sz val="12"/>
      <name val="Arial"/>
      <family val="2"/>
    </font>
    <font>
      <b/>
      <sz val="24"/>
      <name val="Arial"/>
      <family val="2"/>
    </font>
    <font>
      <sz val="10"/>
      <name val="Arial"/>
      <family val="2"/>
      <charset val="1"/>
    </font>
    <font>
      <b/>
      <sz val="12"/>
      <name val="Arial"/>
      <family val="2"/>
      <charset val="1"/>
    </font>
    <font>
      <sz val="12"/>
      <name val="Arial"/>
      <family val="2"/>
      <charset val="1"/>
    </font>
    <font>
      <b/>
      <sz val="8"/>
      <name val="Arial"/>
      <family val="2"/>
      <charset val="1"/>
    </font>
    <font>
      <sz val="14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4"/>
      <color rgb="FF000000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indexed="44"/>
        <bgColor indexed="24"/>
      </patternFill>
    </fill>
    <fill>
      <patternFill patternType="solid">
        <fgColor rgb="FF66CC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55"/>
      </patternFill>
    </fill>
    <fill>
      <patternFill patternType="solid">
        <fgColor theme="0" tint="-4.9989318521683403E-2"/>
        <bgColor indexed="24"/>
      </patternFill>
    </fill>
    <fill>
      <patternFill patternType="solid">
        <fgColor indexed="22"/>
        <bgColor indexed="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80FF00"/>
        <bgColor indexed="64"/>
      </patternFill>
    </fill>
    <fill>
      <patternFill patternType="solid">
        <fgColor rgb="FF66CCFF"/>
        <bgColor indexed="31"/>
      </patternFill>
    </fill>
    <fill>
      <patternFill patternType="solid">
        <fgColor rgb="FFFF0000"/>
        <bgColor indexed="64"/>
      </patternFill>
    </fill>
  </fills>
  <borders count="48">
    <border>
      <left/>
      <right/>
      <top/>
      <bottom/>
      <diagonal/>
    </border>
    <border>
      <left/>
      <right style="hair">
        <color indexed="8"/>
      </right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/>
      <right style="hair">
        <color indexed="8"/>
      </right>
      <top/>
      <bottom style="thick">
        <color rgb="FFFF0000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auto="1"/>
      </left>
      <right style="thin">
        <color indexed="8"/>
      </right>
      <top style="thick">
        <color auto="1"/>
      </top>
      <bottom style="thin">
        <color indexed="8"/>
      </bottom>
      <diagonal/>
    </border>
    <border>
      <left/>
      <right style="thin">
        <color indexed="8"/>
      </right>
      <top style="thick">
        <color auto="1"/>
      </top>
      <bottom style="thin">
        <color indexed="8"/>
      </bottom>
      <diagonal/>
    </border>
    <border>
      <left/>
      <right style="thick">
        <color auto="1"/>
      </right>
      <top style="thick">
        <color auto="1"/>
      </top>
      <bottom style="thin">
        <color indexed="8"/>
      </bottom>
      <diagonal/>
    </border>
    <border>
      <left style="thick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auto="1"/>
      </right>
      <top style="thin">
        <color indexed="8"/>
      </top>
      <bottom style="thin">
        <color indexed="8"/>
      </bottom>
      <diagonal/>
    </border>
    <border>
      <left style="thick">
        <color auto="1"/>
      </left>
      <right style="thin">
        <color indexed="8"/>
      </right>
      <top style="thin">
        <color indexed="8"/>
      </top>
      <bottom style="thick">
        <color auto="1"/>
      </bottom>
      <diagonal/>
    </border>
    <border>
      <left/>
      <right style="thin">
        <color indexed="8"/>
      </right>
      <top style="thin">
        <color indexed="8"/>
      </top>
      <bottom style="thick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auto="1"/>
      </bottom>
      <diagonal/>
    </border>
    <border>
      <left style="thin">
        <color indexed="8"/>
      </left>
      <right style="thick">
        <color auto="1"/>
      </right>
      <top style="thin">
        <color indexed="8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rgb="FFFF0000"/>
      </left>
      <right style="thin">
        <color auto="1"/>
      </right>
      <top style="thick">
        <color rgb="FFFF0000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ck">
        <color rgb="FFFF0000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hair">
        <color indexed="8"/>
      </left>
      <right style="thick">
        <color rgb="FFFF0000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/>
      <top style="thick">
        <color auto="1"/>
      </top>
      <bottom/>
      <diagonal/>
    </border>
    <border>
      <left/>
      <right style="medium">
        <color auto="1"/>
      </right>
      <top style="thick">
        <color auto="1"/>
      </top>
      <bottom/>
      <diagonal/>
    </border>
  </borders>
  <cellStyleXfs count="26">
    <xf numFmtId="0" fontId="0" fillId="0" borderId="0"/>
    <xf numFmtId="0" fontId="7" fillId="0" borderId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 applyProtection="1">
      <alignment horizontal="left"/>
      <protection locked="0"/>
    </xf>
    <xf numFmtId="0" fontId="0" fillId="0" borderId="3" xfId="0" applyBorder="1"/>
    <xf numFmtId="0" fontId="0" fillId="0" borderId="0" xfId="0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3" borderId="0" xfId="0" applyFill="1"/>
    <xf numFmtId="0" fontId="0" fillId="0" borderId="0" xfId="0" applyAlignment="1" applyProtection="1">
      <alignment horizontal="left"/>
      <protection locked="0"/>
    </xf>
    <xf numFmtId="0" fontId="0" fillId="0" borderId="5" xfId="0" applyBorder="1" applyAlignment="1" applyProtection="1">
      <alignment horizontal="left"/>
      <protection locked="0"/>
    </xf>
    <xf numFmtId="0" fontId="2" fillId="3" borderId="0" xfId="0" applyFont="1" applyFill="1"/>
    <xf numFmtId="0" fontId="0" fillId="5" borderId="2" xfId="0" applyFill="1" applyBorder="1" applyAlignment="1" applyProtection="1">
      <alignment horizontal="left"/>
      <protection locked="0"/>
    </xf>
    <xf numFmtId="0" fontId="5" fillId="3" borderId="0" xfId="0" applyFont="1" applyFill="1"/>
    <xf numFmtId="0" fontId="5" fillId="0" borderId="0" xfId="0" applyFont="1"/>
    <xf numFmtId="0" fontId="5" fillId="0" borderId="4" xfId="0" applyFont="1" applyBorder="1"/>
    <xf numFmtId="0" fontId="5" fillId="0" borderId="16" xfId="0" applyFont="1" applyBorder="1"/>
    <xf numFmtId="0" fontId="5" fillId="7" borderId="17" xfId="0" applyFont="1" applyFill="1" applyBorder="1"/>
    <xf numFmtId="0" fontId="5" fillId="4" borderId="4" xfId="0" applyFont="1" applyFill="1" applyBorder="1"/>
    <xf numFmtId="0" fontId="5" fillId="4" borderId="0" xfId="0" applyFont="1" applyFill="1"/>
    <xf numFmtId="0" fontId="5" fillId="4" borderId="16" xfId="0" applyFont="1" applyFill="1" applyBorder="1"/>
    <xf numFmtId="0" fontId="5" fillId="0" borderId="17" xfId="0" applyFont="1" applyBorder="1"/>
    <xf numFmtId="0" fontId="5" fillId="0" borderId="0" xfId="0" applyFont="1" applyAlignment="1">
      <alignment horizontal="right"/>
    </xf>
    <xf numFmtId="164" fontId="5" fillId="4" borderId="4" xfId="0" applyNumberFormat="1" applyFont="1" applyFill="1" applyBorder="1" applyAlignment="1" applyProtection="1">
      <alignment horizontal="center"/>
      <protection locked="0"/>
    </xf>
    <xf numFmtId="164" fontId="5" fillId="4" borderId="0" xfId="0" applyNumberFormat="1" applyFont="1" applyFill="1" applyAlignment="1" applyProtection="1">
      <alignment horizontal="center"/>
      <protection locked="0"/>
    </xf>
    <xf numFmtId="0" fontId="5" fillId="4" borderId="0" xfId="0" applyFont="1" applyFill="1" applyAlignment="1" applyProtection="1">
      <alignment horizontal="center"/>
      <protection locked="0"/>
    </xf>
    <xf numFmtId="164" fontId="5" fillId="6" borderId="17" xfId="0" applyNumberFormat="1" applyFont="1" applyFill="1" applyBorder="1" applyAlignment="1" applyProtection="1">
      <alignment horizontal="center"/>
      <protection locked="0"/>
    </xf>
    <xf numFmtId="164" fontId="5" fillId="0" borderId="16" xfId="0" applyNumberFormat="1" applyFont="1" applyBorder="1" applyAlignment="1" applyProtection="1">
      <alignment horizontal="center"/>
      <protection locked="0"/>
    </xf>
    <xf numFmtId="164" fontId="5" fillId="0" borderId="0" xfId="0" applyNumberFormat="1" applyFont="1" applyAlignment="1" applyProtection="1">
      <alignment horizontal="center"/>
      <protection locked="0"/>
    </xf>
    <xf numFmtId="164" fontId="5" fillId="0" borderId="17" xfId="0" applyNumberFormat="1" applyFont="1" applyBorder="1" applyAlignment="1" applyProtection="1">
      <alignment horizontal="center"/>
      <protection locked="0"/>
    </xf>
    <xf numFmtId="164" fontId="5" fillId="4" borderId="16" xfId="0" applyNumberFormat="1" applyFont="1" applyFill="1" applyBorder="1" applyAlignment="1" applyProtection="1">
      <alignment horizontal="center"/>
      <protection locked="0"/>
    </xf>
    <xf numFmtId="164" fontId="5" fillId="0" borderId="4" xfId="0" applyNumberFormat="1" applyFont="1" applyBorder="1" applyAlignment="1" applyProtection="1">
      <alignment horizontal="center"/>
      <protection locked="0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7" fillId="0" borderId="0" xfId="0" applyFont="1"/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8" fillId="8" borderId="23" xfId="0" applyFont="1" applyFill="1" applyBorder="1" applyAlignment="1">
      <alignment horizontal="center"/>
    </xf>
    <xf numFmtId="0" fontId="8" fillId="8" borderId="24" xfId="0" applyFont="1" applyFill="1" applyBorder="1" applyAlignment="1">
      <alignment horizontal="center"/>
    </xf>
    <xf numFmtId="0" fontId="8" fillId="8" borderId="25" xfId="0" applyFont="1" applyFill="1" applyBorder="1" applyAlignment="1">
      <alignment horizontal="center" vertical="center"/>
    </xf>
    <xf numFmtId="0" fontId="8" fillId="8" borderId="27" xfId="0" applyFont="1" applyFill="1" applyBorder="1" applyAlignment="1">
      <alignment horizontal="center" vertical="center"/>
    </xf>
    <xf numFmtId="0" fontId="9" fillId="8" borderId="22" xfId="0" applyFont="1" applyFill="1" applyBorder="1" applyAlignment="1">
      <alignment horizontal="center"/>
    </xf>
    <xf numFmtId="0" fontId="10" fillId="0" borderId="18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164" fontId="5" fillId="10" borderId="0" xfId="0" applyNumberFormat="1" applyFont="1" applyFill="1" applyAlignment="1" applyProtection="1">
      <alignment horizontal="center"/>
      <protection locked="0"/>
    </xf>
    <xf numFmtId="0" fontId="5" fillId="10" borderId="0" xfId="0" applyFont="1" applyFill="1"/>
    <xf numFmtId="0" fontId="11" fillId="3" borderId="0" xfId="0" applyFont="1" applyFill="1"/>
    <xf numFmtId="0" fontId="5" fillId="11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wrapText="1"/>
    </xf>
    <xf numFmtId="0" fontId="15" fillId="0" borderId="29" xfId="0" applyFont="1" applyBorder="1" applyAlignment="1">
      <alignment horizontal="center" vertical="center"/>
    </xf>
    <xf numFmtId="0" fontId="11" fillId="0" borderId="0" xfId="0" applyFont="1"/>
    <xf numFmtId="0" fontId="5" fillId="2" borderId="37" xfId="0" applyFont="1" applyFill="1" applyBorder="1" applyAlignment="1">
      <alignment horizontal="right"/>
    </xf>
    <xf numFmtId="0" fontId="5" fillId="2" borderId="38" xfId="0" applyFont="1" applyFill="1" applyBorder="1" applyAlignment="1">
      <alignment horizontal="center"/>
    </xf>
    <xf numFmtId="0" fontId="5" fillId="2" borderId="38" xfId="0" applyFont="1" applyFill="1" applyBorder="1"/>
    <xf numFmtId="0" fontId="5" fillId="2" borderId="39" xfId="0" applyFont="1" applyFill="1" applyBorder="1"/>
    <xf numFmtId="0" fontId="5" fillId="4" borderId="40" xfId="0" applyFont="1" applyFill="1" applyBorder="1" applyAlignment="1" applyProtection="1">
      <alignment horizontal="right"/>
      <protection locked="0"/>
    </xf>
    <xf numFmtId="0" fontId="5" fillId="4" borderId="41" xfId="0" applyFont="1" applyFill="1" applyBorder="1"/>
    <xf numFmtId="0" fontId="5" fillId="4" borderId="42" xfId="0" applyFont="1" applyFill="1" applyBorder="1" applyAlignment="1" applyProtection="1">
      <alignment horizontal="right"/>
      <protection locked="0"/>
    </xf>
    <xf numFmtId="0" fontId="5" fillId="4" borderId="43" xfId="0" applyFont="1" applyFill="1" applyBorder="1"/>
    <xf numFmtId="0" fontId="5" fillId="6" borderId="44" xfId="0" applyFont="1" applyFill="1" applyBorder="1" applyAlignment="1" applyProtection="1">
      <alignment horizontal="right"/>
      <protection locked="0"/>
    </xf>
    <xf numFmtId="0" fontId="5" fillId="7" borderId="45" xfId="0" applyFont="1" applyFill="1" applyBorder="1"/>
    <xf numFmtId="0" fontId="5" fillId="0" borderId="46" xfId="0" applyFont="1" applyBorder="1" applyAlignment="1" applyProtection="1">
      <alignment horizontal="right"/>
      <protection locked="0"/>
    </xf>
    <xf numFmtId="0" fontId="5" fillId="0" borderId="47" xfId="0" applyFont="1" applyBorder="1"/>
    <xf numFmtId="0" fontId="5" fillId="0" borderId="42" xfId="0" applyFont="1" applyBorder="1" applyAlignment="1" applyProtection="1">
      <alignment horizontal="right"/>
      <protection locked="0"/>
    </xf>
    <xf numFmtId="0" fontId="5" fillId="0" borderId="43" xfId="0" applyFont="1" applyBorder="1"/>
    <xf numFmtId="0" fontId="5" fillId="0" borderId="44" xfId="0" applyFont="1" applyBorder="1" applyAlignment="1" applyProtection="1">
      <alignment horizontal="right"/>
      <protection locked="0"/>
    </xf>
    <xf numFmtId="0" fontId="5" fillId="0" borderId="45" xfId="0" applyFont="1" applyBorder="1"/>
    <xf numFmtId="0" fontId="5" fillId="4" borderId="46" xfId="0" applyFont="1" applyFill="1" applyBorder="1" applyAlignment="1" applyProtection="1">
      <alignment horizontal="right"/>
      <protection locked="0"/>
    </xf>
    <xf numFmtId="0" fontId="5" fillId="4" borderId="47" xfId="0" applyFont="1" applyFill="1" applyBorder="1"/>
    <xf numFmtId="0" fontId="5" fillId="0" borderId="40" xfId="0" applyFont="1" applyBorder="1" applyAlignment="1" applyProtection="1">
      <alignment horizontal="right"/>
      <protection locked="0"/>
    </xf>
    <xf numFmtId="0" fontId="5" fillId="0" borderId="41" xfId="0" applyFont="1" applyBorder="1"/>
    <xf numFmtId="164" fontId="5" fillId="10" borderId="42" xfId="0" applyNumberFormat="1" applyFont="1" applyFill="1" applyBorder="1" applyAlignment="1" applyProtection="1">
      <alignment horizontal="right"/>
      <protection locked="0"/>
    </xf>
    <xf numFmtId="0" fontId="5" fillId="10" borderId="43" xfId="0" applyFont="1" applyFill="1" applyBorder="1"/>
    <xf numFmtId="0" fontId="0" fillId="0" borderId="0" xfId="0" applyAlignment="1">
      <alignment horizontal="left"/>
    </xf>
    <xf numFmtId="0" fontId="11" fillId="0" borderId="0" xfId="0" applyFont="1" applyAlignment="1">
      <alignment horizontal="center"/>
    </xf>
    <xf numFmtId="0" fontId="11" fillId="0" borderId="36" xfId="0" applyFont="1" applyBorder="1" applyAlignment="1">
      <alignment horizontal="center"/>
    </xf>
    <xf numFmtId="0" fontId="10" fillId="12" borderId="26" xfId="0" applyFont="1" applyFill="1" applyBorder="1" applyAlignment="1">
      <alignment horizontal="center" vertical="center"/>
    </xf>
    <xf numFmtId="0" fontId="10" fillId="12" borderId="30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left" vertical="top" wrapText="1"/>
    </xf>
    <xf numFmtId="1" fontId="11" fillId="0" borderId="6" xfId="0" applyNumberFormat="1" applyFont="1" applyBorder="1" applyAlignment="1" applyProtection="1">
      <alignment horizontal="left" vertical="center"/>
      <protection locked="0"/>
    </xf>
    <xf numFmtId="1" fontId="11" fillId="0" borderId="7" xfId="0" applyNumberFormat="1" applyFont="1" applyBorder="1" applyAlignment="1" applyProtection="1">
      <alignment horizontal="left" vertical="center"/>
      <protection locked="0"/>
    </xf>
    <xf numFmtId="1" fontId="11" fillId="0" borderId="8" xfId="0" applyNumberFormat="1" applyFont="1" applyBorder="1" applyAlignment="1" applyProtection="1">
      <alignment horizontal="left" vertical="center"/>
      <protection locked="0"/>
    </xf>
    <xf numFmtId="1" fontId="11" fillId="0" borderId="5" xfId="0" applyNumberFormat="1" applyFont="1" applyBorder="1" applyAlignment="1" applyProtection="1">
      <alignment horizontal="left" vertical="center"/>
      <protection locked="0"/>
    </xf>
    <xf numFmtId="1" fontId="11" fillId="0" borderId="0" xfId="0" applyNumberFormat="1" applyFont="1" applyAlignment="1" applyProtection="1">
      <alignment horizontal="left" vertical="center"/>
      <protection locked="0"/>
    </xf>
    <xf numFmtId="1" fontId="11" fillId="0" borderId="9" xfId="0" applyNumberFormat="1" applyFont="1" applyBorder="1" applyAlignment="1" applyProtection="1">
      <alignment horizontal="left" vertical="center"/>
      <protection locked="0"/>
    </xf>
    <xf numFmtId="1" fontId="11" fillId="0" borderId="10" xfId="0" applyNumberFormat="1" applyFont="1" applyBorder="1" applyAlignment="1" applyProtection="1">
      <alignment horizontal="left" vertical="center"/>
      <protection locked="0"/>
    </xf>
    <xf numFmtId="1" fontId="11" fillId="0" borderId="11" xfId="0" applyNumberFormat="1" applyFont="1" applyBorder="1" applyAlignment="1" applyProtection="1">
      <alignment horizontal="left" vertical="center"/>
      <protection locked="0"/>
    </xf>
    <xf numFmtId="1" fontId="11" fillId="0" borderId="12" xfId="0" applyNumberFormat="1" applyFont="1" applyBorder="1" applyAlignment="1" applyProtection="1">
      <alignment horizontal="left" vertical="center"/>
      <protection locked="0"/>
    </xf>
    <xf numFmtId="0" fontId="11" fillId="3" borderId="9" xfId="0" applyFont="1" applyFill="1" applyBorder="1" applyAlignment="1">
      <alignment horizontal="left" vertical="top" wrapText="1"/>
    </xf>
    <xf numFmtId="0" fontId="2" fillId="0" borderId="7" xfId="0" applyFont="1" applyBorder="1" applyAlignment="1" applyProtection="1">
      <alignment horizontal="justify" vertical="center" wrapText="1"/>
      <protection locked="0"/>
    </xf>
    <xf numFmtId="0" fontId="2" fillId="0" borderId="8" xfId="0" applyFont="1" applyBorder="1" applyAlignment="1" applyProtection="1">
      <alignment horizontal="justify" vertical="center" wrapText="1"/>
      <protection locked="0"/>
    </xf>
    <xf numFmtId="0" fontId="2" fillId="0" borderId="5" xfId="0" applyFont="1" applyBorder="1" applyAlignment="1" applyProtection="1">
      <alignment horizontal="justify" vertical="center" wrapText="1"/>
      <protection locked="0"/>
    </xf>
    <xf numFmtId="0" fontId="2" fillId="0" borderId="0" xfId="0" applyFont="1" applyAlignment="1" applyProtection="1">
      <alignment horizontal="justify" vertical="center" wrapText="1"/>
      <protection locked="0"/>
    </xf>
    <xf numFmtId="0" fontId="2" fillId="0" borderId="9" xfId="0" applyFont="1" applyBorder="1" applyAlignment="1" applyProtection="1">
      <alignment horizontal="justify" vertical="center" wrapText="1"/>
      <protection locked="0"/>
    </xf>
    <xf numFmtId="0" fontId="2" fillId="0" borderId="10" xfId="0" applyFont="1" applyBorder="1" applyAlignment="1" applyProtection="1">
      <alignment horizontal="justify" vertical="center" wrapText="1"/>
      <protection locked="0"/>
    </xf>
    <xf numFmtId="0" fontId="2" fillId="0" borderId="11" xfId="0" applyFont="1" applyBorder="1" applyAlignment="1" applyProtection="1">
      <alignment horizontal="justify" vertical="center" wrapText="1"/>
      <protection locked="0"/>
    </xf>
    <xf numFmtId="0" fontId="2" fillId="0" borderId="12" xfId="0" applyFont="1" applyBorder="1" applyAlignment="1" applyProtection="1">
      <alignment horizontal="justify" vertical="center" wrapText="1"/>
      <protection locked="0"/>
    </xf>
    <xf numFmtId="0" fontId="2" fillId="3" borderId="1" xfId="0" applyFont="1" applyFill="1" applyBorder="1" applyAlignment="1">
      <alignment horizontal="center" vertical="center"/>
    </xf>
    <xf numFmtId="1" fontId="11" fillId="0" borderId="13" xfId="0" applyNumberFormat="1" applyFont="1" applyBorder="1" applyAlignment="1" applyProtection="1">
      <alignment horizontal="center"/>
      <protection locked="0"/>
    </xf>
    <xf numFmtId="1" fontId="11" fillId="0" borderId="14" xfId="0" applyNumberFormat="1" applyFont="1" applyBorder="1" applyAlignment="1" applyProtection="1">
      <alignment horizontal="center"/>
      <protection locked="0"/>
    </xf>
    <xf numFmtId="0" fontId="11" fillId="0" borderId="5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1" xfId="0" applyFont="1" applyBorder="1" applyAlignment="1">
      <alignment horizontal="left"/>
    </xf>
    <xf numFmtId="49" fontId="11" fillId="0" borderId="13" xfId="0" applyNumberFormat="1" applyFont="1" applyBorder="1" applyAlignment="1">
      <alignment horizontal="center" vertical="center"/>
    </xf>
    <xf numFmtId="49" fontId="11" fillId="0" borderId="14" xfId="0" applyNumberFormat="1" applyFont="1" applyBorder="1" applyAlignment="1">
      <alignment horizontal="center" vertical="center"/>
    </xf>
    <xf numFmtId="165" fontId="3" fillId="0" borderId="13" xfId="0" applyNumberFormat="1" applyFont="1" applyBorder="1" applyAlignment="1">
      <alignment horizontal="center"/>
    </xf>
    <xf numFmtId="165" fontId="3" fillId="0" borderId="14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5" fillId="0" borderId="3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5" fillId="0" borderId="6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0" borderId="6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5" fillId="0" borderId="31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3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16" fillId="0" borderId="6" xfId="0" applyFont="1" applyBorder="1" applyAlignment="1" applyProtection="1">
      <alignment horizontal="justify" vertical="center" wrapText="1"/>
      <protection locked="0"/>
    </xf>
  </cellXfs>
  <cellStyles count="26">
    <cellStyle name="Followed Hyperlink" xfId="3" builtinId="9" hidden="1"/>
    <cellStyle name="Followed Hyperlink" xfId="5" builtinId="9" hidden="1"/>
    <cellStyle name="Followed Hyperlink" xfId="21" builtinId="9" hidden="1"/>
    <cellStyle name="Followed Hyperlink" xfId="11" builtinId="9" hidden="1"/>
    <cellStyle name="Followed Hyperlink" xfId="9" builtinId="9" hidden="1"/>
    <cellStyle name="Followed Hyperlink" xfId="17" builtinId="9" hidden="1"/>
    <cellStyle name="Followed Hyperlink" xfId="19" builtinId="9" hidden="1"/>
    <cellStyle name="Followed Hyperlink" xfId="13" builtinId="9" hidden="1"/>
    <cellStyle name="Followed Hyperlink" xfId="15" builtinId="9" hidden="1"/>
    <cellStyle name="Followed Hyperlink" xfId="7" builtinId="9" hidden="1"/>
    <cellStyle name="Followed Hyperlink" xfId="23" builtinId="9" hidden="1"/>
    <cellStyle name="Followed Hyperlink" xfId="25" builtinId="9" hidden="1"/>
    <cellStyle name="Hyperlink" xfId="22" builtinId="8" hidden="1"/>
    <cellStyle name="Hyperlink" xfId="24" builtinId="8" hidden="1"/>
    <cellStyle name="Hyperlink" xfId="14" builtinId="8" hidden="1"/>
    <cellStyle name="Hyperlink" xfId="4" builtinId="8" hidden="1"/>
    <cellStyle name="Hyperlink" xfId="12" builtinId="8" hidden="1"/>
    <cellStyle name="Hyperlink" xfId="20" builtinId="8" hidden="1"/>
    <cellStyle name="Hyperlink" xfId="16" builtinId="8" hidden="1"/>
    <cellStyle name="Hyperlink" xfId="6" builtinId="8" hidden="1"/>
    <cellStyle name="Hyperlink" xfId="2" builtinId="8" hidden="1"/>
    <cellStyle name="Hyperlink" xfId="10" builtinId="8" hidden="1"/>
    <cellStyle name="Hyperlink" xfId="18" builtinId="8" hidden="1"/>
    <cellStyle name="Hyperlink" xfId="8" builtinId="8" hidden="1"/>
    <cellStyle name="Normal" xfId="0" builtinId="0"/>
    <cellStyle name="Normal 4" xfId="1" xr:uid="{00000000-0005-0000-0000-000019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E6E64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9966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83CAFF"/>
      <rgbColor rgb="00FF99CC"/>
      <rgbColor rgb="00CC99FF"/>
      <rgbColor rgb="00FFCC99"/>
      <rgbColor rgb="003366FF"/>
      <rgbColor rgb="0033CCCC"/>
      <rgbColor rgb="0094BD5E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6CCFF"/>
      <color rgb="FF99CCFF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35</xdr:row>
      <xdr:rowOff>38100</xdr:rowOff>
    </xdr:from>
    <xdr:to>
      <xdr:col>15</xdr:col>
      <xdr:colOff>0</xdr:colOff>
      <xdr:row>54</xdr:row>
      <xdr:rowOff>127000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932180" y="7343140"/>
          <a:ext cx="8445500" cy="3370580"/>
        </a:xfrm>
        <a:prstGeom prst="rect">
          <a:avLst/>
        </a:prstGeom>
        <a:solidFill>
          <a:schemeClr val="lt1"/>
        </a:solidFill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US" sz="1200" b="1" u="sng">
              <a:solidFill>
                <a:schemeClr val="dk1"/>
              </a:solidFill>
              <a:effectLst/>
              <a:latin typeface="Arial"/>
              <a:ea typeface="+mn-ea"/>
              <a:cs typeface="Arial"/>
            </a:rPr>
            <a:t>Plate Note</a:t>
          </a:r>
        </a:p>
        <a:p>
          <a:pPr lvl="0"/>
          <a:r>
            <a:rPr lang="en-US" sz="1200" b="1" u="none">
              <a:solidFill>
                <a:schemeClr val="dk1"/>
              </a:solidFill>
              <a:effectLst/>
              <a:latin typeface="Arial"/>
              <a:ea typeface="+mn-ea"/>
              <a:cs typeface="Arial"/>
            </a:rPr>
            <a:t>Any protocol exceptions, any oddities (splashed sample, air bubbles, etc)</a:t>
          </a:r>
        </a:p>
        <a:p>
          <a:pPr lvl="0"/>
          <a:endParaRPr lang="en-US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16"/>
  <sheetViews>
    <sheetView tabSelected="1" zoomScale="130" zoomScaleNormal="130" zoomScaleSheetLayoutView="50" workbookViewId="0">
      <selection activeCell="I18" sqref="I18"/>
    </sheetView>
  </sheetViews>
  <sheetFormatPr defaultColWidth="8.7109375" defaultRowHeight="18"/>
  <cols>
    <col min="1" max="1" width="11.28515625" customWidth="1"/>
    <col min="2" max="2" width="26.42578125" customWidth="1"/>
    <col min="8" max="8" width="8.7109375" customWidth="1"/>
    <col min="9" max="9" width="21" style="57" customWidth="1"/>
    <col min="10" max="10" width="16.7109375" customWidth="1"/>
    <col min="11" max="11" width="6.42578125" customWidth="1"/>
    <col min="12" max="12" width="21.140625" style="24" bestFit="1" customWidth="1"/>
    <col min="13" max="13" width="29.42578125" style="34" customWidth="1"/>
    <col min="14" max="14" width="5.140625" style="16" customWidth="1"/>
    <col min="15" max="15" width="7.7109375" style="16" customWidth="1"/>
  </cols>
  <sheetData>
    <row r="1" spans="1:15" ht="21.95" customHeight="1">
      <c r="A1" s="104" t="s">
        <v>0</v>
      </c>
      <c r="B1" s="104"/>
      <c r="C1" s="104"/>
      <c r="D1" s="104"/>
      <c r="E1" s="104"/>
      <c r="F1" s="104"/>
      <c r="G1" s="104"/>
      <c r="H1" s="104"/>
      <c r="J1" s="13" t="s">
        <v>1</v>
      </c>
      <c r="L1" s="58" t="s">
        <v>2</v>
      </c>
      <c r="M1" s="59" t="s">
        <v>3</v>
      </c>
      <c r="N1" s="60" t="s">
        <v>4</v>
      </c>
      <c r="O1" s="61" t="s">
        <v>5</v>
      </c>
    </row>
    <row r="2" spans="1:15" ht="21.95" customHeight="1">
      <c r="A2" s="53" t="s">
        <v>6</v>
      </c>
      <c r="B2" s="110" t="s">
        <v>7</v>
      </c>
      <c r="C2" s="107" t="s">
        <v>8</v>
      </c>
      <c r="D2" s="108"/>
      <c r="E2" s="108"/>
      <c r="F2" s="108"/>
      <c r="G2" s="108"/>
      <c r="H2" s="109"/>
      <c r="I2" s="81">
        <v>1</v>
      </c>
      <c r="J2" s="14" t="s">
        <v>9</v>
      </c>
      <c r="K2" s="11"/>
      <c r="L2" s="62" t="str">
        <f>J2</f>
        <v>22MB00150</v>
      </c>
      <c r="M2" s="25"/>
      <c r="N2" s="20" t="s">
        <v>10</v>
      </c>
      <c r="O2" s="63">
        <v>1</v>
      </c>
    </row>
    <row r="3" spans="1:15" ht="21.95" customHeight="1">
      <c r="A3" s="53"/>
      <c r="B3" s="111"/>
      <c r="C3" s="107"/>
      <c r="D3" s="108"/>
      <c r="E3" s="108"/>
      <c r="F3" s="108"/>
      <c r="G3" s="108"/>
      <c r="H3" s="109"/>
      <c r="I3" s="81">
        <v>2</v>
      </c>
      <c r="J3" s="14" t="s">
        <v>11</v>
      </c>
      <c r="K3" s="11"/>
      <c r="L3" s="64" t="str">
        <f>J3</f>
        <v>22MB00151</v>
      </c>
      <c r="M3" s="26"/>
      <c r="N3" s="21" t="s">
        <v>10</v>
      </c>
      <c r="O3" s="65">
        <v>2</v>
      </c>
    </row>
    <row r="4" spans="1:15" ht="21.95" customHeight="1">
      <c r="A4" s="53" t="s">
        <v>12</v>
      </c>
      <c r="B4" s="105"/>
      <c r="C4" s="107" t="s">
        <v>13</v>
      </c>
      <c r="D4" s="108"/>
      <c r="E4" s="108"/>
      <c r="F4" s="108"/>
      <c r="G4" s="108"/>
      <c r="H4" s="109"/>
      <c r="I4" s="81">
        <v>3</v>
      </c>
      <c r="J4" s="14" t="s">
        <v>14</v>
      </c>
      <c r="K4" s="11"/>
      <c r="L4" s="64" t="str">
        <f>J4</f>
        <v>22MB00152</v>
      </c>
      <c r="M4" s="26"/>
      <c r="N4" s="21" t="s">
        <v>10</v>
      </c>
      <c r="O4" s="65">
        <v>3</v>
      </c>
    </row>
    <row r="5" spans="1:15" ht="21.95" customHeight="1">
      <c r="A5" s="53"/>
      <c r="B5" s="106"/>
      <c r="C5" s="107"/>
      <c r="D5" s="108"/>
      <c r="E5" s="108"/>
      <c r="F5" s="108"/>
      <c r="G5" s="108"/>
      <c r="H5" s="109"/>
      <c r="I5" s="81">
        <v>4</v>
      </c>
      <c r="J5" s="14" t="s">
        <v>15</v>
      </c>
      <c r="K5" s="11"/>
      <c r="L5" s="64" t="str">
        <f t="shared" ref="L5:L12" si="0">J5</f>
        <v>22MB00153</v>
      </c>
      <c r="M5" s="27"/>
      <c r="N5" s="21" t="s">
        <v>10</v>
      </c>
      <c r="O5" s="65">
        <v>4</v>
      </c>
    </row>
    <row r="6" spans="1:15" ht="21.95" customHeight="1">
      <c r="A6" s="53" t="s">
        <v>16</v>
      </c>
      <c r="B6" s="112" t="s">
        <v>17</v>
      </c>
      <c r="C6" s="107" t="s">
        <v>18</v>
      </c>
      <c r="D6" s="108"/>
      <c r="E6" s="108"/>
      <c r="F6" s="108"/>
      <c r="G6" s="108"/>
      <c r="H6" s="109"/>
      <c r="I6" s="81">
        <v>5</v>
      </c>
      <c r="J6" s="14" t="s">
        <v>19</v>
      </c>
      <c r="K6" s="11"/>
      <c r="L6" s="64" t="str">
        <f>J6</f>
        <v>22MB00154</v>
      </c>
      <c r="M6" s="26"/>
      <c r="N6" s="21" t="s">
        <v>10</v>
      </c>
      <c r="O6" s="65">
        <v>5</v>
      </c>
    </row>
    <row r="7" spans="1:15" ht="21.95" customHeight="1">
      <c r="A7" s="53"/>
      <c r="B7" s="113"/>
      <c r="C7" s="107"/>
      <c r="D7" s="108"/>
      <c r="E7" s="108"/>
      <c r="F7" s="108"/>
      <c r="G7" s="108"/>
      <c r="H7" s="109"/>
      <c r="I7" s="81">
        <v>6</v>
      </c>
      <c r="J7" s="14" t="s">
        <v>20</v>
      </c>
      <c r="K7" s="11"/>
      <c r="L7" s="64" t="str">
        <f>J7</f>
        <v>22MB00155</v>
      </c>
      <c r="M7" s="26"/>
      <c r="N7" s="21" t="s">
        <v>10</v>
      </c>
      <c r="O7" s="65">
        <v>6</v>
      </c>
    </row>
    <row r="8" spans="1:15" ht="21.95" customHeight="1">
      <c r="A8" s="16"/>
      <c r="B8" s="114" t="str">
        <f>CONCATENATE("RNA-DNA_",$B$2,"_",$B$4,"_",B6)</f>
        <v>RNA-DNA_20241212__SNH</v>
      </c>
      <c r="C8" s="114"/>
      <c r="D8" s="114"/>
      <c r="E8" s="114"/>
      <c r="F8" s="114"/>
      <c r="G8" s="114"/>
      <c r="H8" s="115"/>
      <c r="I8" s="82">
        <v>7</v>
      </c>
      <c r="J8" s="14" t="s">
        <v>21</v>
      </c>
      <c r="K8" s="11"/>
      <c r="L8" s="64" t="str">
        <f t="shared" si="0"/>
        <v>22MB00156</v>
      </c>
      <c r="M8" s="26"/>
      <c r="N8" s="21" t="s">
        <v>10</v>
      </c>
      <c r="O8" s="65">
        <v>7</v>
      </c>
    </row>
    <row r="9" spans="1:15" ht="21.95" customHeight="1">
      <c r="A9" s="16"/>
      <c r="B9" s="116"/>
      <c r="C9" s="116"/>
      <c r="D9" s="116"/>
      <c r="E9" s="116"/>
      <c r="F9" s="116"/>
      <c r="G9" s="116"/>
      <c r="H9" s="117"/>
      <c r="I9" s="81">
        <v>8</v>
      </c>
      <c r="J9" s="14" t="s">
        <v>22</v>
      </c>
      <c r="K9" s="11"/>
      <c r="L9" s="64" t="str">
        <f t="shared" si="0"/>
        <v>22MB00157</v>
      </c>
      <c r="M9" s="26"/>
      <c r="N9" s="21" t="s">
        <v>10</v>
      </c>
      <c r="O9" s="65">
        <v>8</v>
      </c>
    </row>
    <row r="10" spans="1:15" ht="21.95" customHeight="1">
      <c r="A10" s="95" t="s">
        <v>23</v>
      </c>
      <c r="B10" s="156" t="s">
        <v>24</v>
      </c>
      <c r="C10" s="96"/>
      <c r="D10" s="96"/>
      <c r="E10" s="96"/>
      <c r="F10" s="96"/>
      <c r="G10" s="96"/>
      <c r="H10" s="97"/>
      <c r="I10" s="81">
        <v>9</v>
      </c>
      <c r="J10" s="14" t="s">
        <v>25</v>
      </c>
      <c r="K10" s="11"/>
      <c r="L10" s="64" t="str">
        <f t="shared" si="0"/>
        <v>22MB00158</v>
      </c>
      <c r="M10" s="26"/>
      <c r="N10" s="21" t="s">
        <v>10</v>
      </c>
      <c r="O10" s="65">
        <v>9</v>
      </c>
    </row>
    <row r="11" spans="1:15" ht="21.95" customHeight="1">
      <c r="A11" s="95"/>
      <c r="B11" s="98"/>
      <c r="C11" s="99"/>
      <c r="D11" s="99"/>
      <c r="E11" s="99"/>
      <c r="F11" s="99"/>
      <c r="G11" s="99"/>
      <c r="H11" s="100"/>
      <c r="I11" s="81">
        <v>10</v>
      </c>
      <c r="J11" s="14" t="s">
        <v>26</v>
      </c>
      <c r="K11" s="11"/>
      <c r="L11" s="64" t="str">
        <f t="shared" si="0"/>
        <v>22MB00159</v>
      </c>
      <c r="M11" s="26"/>
      <c r="N11" s="21" t="s">
        <v>10</v>
      </c>
      <c r="O11" s="65">
        <v>10</v>
      </c>
    </row>
    <row r="12" spans="1:15" ht="21.95" customHeight="1">
      <c r="A12" s="95"/>
      <c r="B12" s="98"/>
      <c r="C12" s="99"/>
      <c r="D12" s="99"/>
      <c r="E12" s="99"/>
      <c r="F12" s="99"/>
      <c r="G12" s="99"/>
      <c r="H12" s="100"/>
      <c r="I12" s="81">
        <v>11</v>
      </c>
      <c r="J12" s="14" t="s">
        <v>27</v>
      </c>
      <c r="K12" s="11"/>
      <c r="L12" s="64" t="str">
        <f t="shared" si="0"/>
        <v>22MB00160</v>
      </c>
      <c r="M12" s="26"/>
      <c r="N12" s="21" t="s">
        <v>10</v>
      </c>
      <c r="O12" s="65">
        <v>11</v>
      </c>
    </row>
    <row r="13" spans="1:15" ht="21.95" customHeight="1">
      <c r="A13" s="95"/>
      <c r="B13" s="98"/>
      <c r="C13" s="99"/>
      <c r="D13" s="99"/>
      <c r="E13" s="99"/>
      <c r="F13" s="99"/>
      <c r="G13" s="99"/>
      <c r="H13" s="100"/>
      <c r="I13" s="81">
        <v>12</v>
      </c>
      <c r="J13" s="3" t="s">
        <v>28</v>
      </c>
      <c r="K13" s="11"/>
      <c r="L13" s="66" t="s">
        <v>29</v>
      </c>
      <c r="M13" s="28" t="s">
        <v>30</v>
      </c>
      <c r="N13" s="19" t="s">
        <v>10</v>
      </c>
      <c r="O13" s="67">
        <v>12</v>
      </c>
    </row>
    <row r="14" spans="1:15" ht="21.95" customHeight="1">
      <c r="A14" s="95"/>
      <c r="B14" s="98"/>
      <c r="C14" s="99"/>
      <c r="D14" s="99"/>
      <c r="E14" s="99"/>
      <c r="F14" s="99"/>
      <c r="G14" s="99"/>
      <c r="H14" s="100"/>
      <c r="I14" s="81">
        <v>13</v>
      </c>
      <c r="J14" s="3" t="s">
        <v>31</v>
      </c>
      <c r="K14" s="12"/>
      <c r="L14" s="68" t="str">
        <f>J13</f>
        <v>23MB00201</v>
      </c>
      <c r="M14" s="29"/>
      <c r="N14" s="18" t="s">
        <v>32</v>
      </c>
      <c r="O14" s="69">
        <v>1</v>
      </c>
    </row>
    <row r="15" spans="1:15" ht="21.95" customHeight="1">
      <c r="A15" s="95"/>
      <c r="B15" s="98"/>
      <c r="C15" s="99"/>
      <c r="D15" s="99"/>
      <c r="E15" s="99"/>
      <c r="F15" s="99"/>
      <c r="G15" s="99"/>
      <c r="H15" s="100"/>
      <c r="I15" s="81">
        <v>14</v>
      </c>
      <c r="J15" s="3" t="s">
        <v>33</v>
      </c>
      <c r="K15" s="12"/>
      <c r="L15" s="70" t="str">
        <f>J14</f>
        <v>23MB00202</v>
      </c>
      <c r="M15" s="30"/>
      <c r="N15" s="16" t="s">
        <v>32</v>
      </c>
      <c r="O15" s="71">
        <v>2</v>
      </c>
    </row>
    <row r="16" spans="1:15" ht="21.95" customHeight="1">
      <c r="A16" s="95"/>
      <c r="B16" s="98"/>
      <c r="C16" s="99"/>
      <c r="D16" s="99"/>
      <c r="E16" s="99"/>
      <c r="F16" s="99"/>
      <c r="G16" s="99"/>
      <c r="H16" s="100"/>
      <c r="I16" s="81">
        <v>15</v>
      </c>
      <c r="J16" s="3" t="s">
        <v>34</v>
      </c>
      <c r="K16" s="12"/>
      <c r="L16" s="70" t="str">
        <f t="shared" ref="L16:L24" si="1">J15</f>
        <v>23MB00203</v>
      </c>
      <c r="M16" s="30"/>
      <c r="N16" s="16" t="s">
        <v>32</v>
      </c>
      <c r="O16" s="71">
        <v>3</v>
      </c>
    </row>
    <row r="17" spans="1:15" ht="21.95" customHeight="1">
      <c r="A17" s="95"/>
      <c r="B17" s="98"/>
      <c r="C17" s="99"/>
      <c r="D17" s="99"/>
      <c r="E17" s="99"/>
      <c r="F17" s="99"/>
      <c r="G17" s="99"/>
      <c r="H17" s="100"/>
      <c r="I17" s="81">
        <v>16</v>
      </c>
      <c r="J17" s="3" t="s">
        <v>35</v>
      </c>
      <c r="K17" s="12"/>
      <c r="L17" s="70" t="str">
        <f t="shared" si="1"/>
        <v>23MB00204</v>
      </c>
      <c r="M17" s="30"/>
      <c r="N17" s="16" t="s">
        <v>32</v>
      </c>
      <c r="O17" s="71">
        <v>4</v>
      </c>
    </row>
    <row r="18" spans="1:15" ht="21.95" customHeight="1">
      <c r="A18" s="95"/>
      <c r="B18" s="98"/>
      <c r="C18" s="99"/>
      <c r="D18" s="99"/>
      <c r="E18" s="99"/>
      <c r="F18" s="99"/>
      <c r="G18" s="99"/>
      <c r="H18" s="100"/>
      <c r="I18" s="81">
        <v>17</v>
      </c>
      <c r="J18" s="3" t="s">
        <v>36</v>
      </c>
      <c r="K18" s="12"/>
      <c r="L18" s="70" t="str">
        <f t="shared" si="1"/>
        <v>23MB00205</v>
      </c>
      <c r="M18" s="30"/>
      <c r="N18" s="16" t="s">
        <v>32</v>
      </c>
      <c r="O18" s="71">
        <v>5</v>
      </c>
    </row>
    <row r="19" spans="1:15" ht="21.95" customHeight="1">
      <c r="A19" s="95"/>
      <c r="B19" s="98"/>
      <c r="C19" s="99"/>
      <c r="D19" s="99"/>
      <c r="E19" s="99"/>
      <c r="F19" s="99"/>
      <c r="G19" s="99"/>
      <c r="H19" s="100"/>
      <c r="I19" s="81">
        <v>18</v>
      </c>
      <c r="J19" s="3" t="s">
        <v>37</v>
      </c>
      <c r="K19" s="12"/>
      <c r="L19" s="70" t="str">
        <f t="shared" si="1"/>
        <v>23MB00206</v>
      </c>
      <c r="M19" s="30"/>
      <c r="N19" s="16" t="s">
        <v>32</v>
      </c>
      <c r="O19" s="71">
        <v>6</v>
      </c>
    </row>
    <row r="20" spans="1:15" ht="21.95" customHeight="1">
      <c r="A20" s="95"/>
      <c r="B20" s="101"/>
      <c r="C20" s="102"/>
      <c r="D20" s="102"/>
      <c r="E20" s="102"/>
      <c r="F20" s="102"/>
      <c r="G20" s="102"/>
      <c r="H20" s="103"/>
      <c r="I20" s="81">
        <v>19</v>
      </c>
      <c r="J20" s="3" t="s">
        <v>38</v>
      </c>
      <c r="K20" s="12"/>
      <c r="L20" s="70" t="str">
        <f t="shared" si="1"/>
        <v>23MB00207</v>
      </c>
      <c r="M20" s="30"/>
      <c r="N20" s="16" t="s">
        <v>32</v>
      </c>
      <c r="O20" s="71">
        <v>7</v>
      </c>
    </row>
    <row r="21" spans="1:15" ht="21.95" customHeight="1">
      <c r="A21" s="80"/>
      <c r="I21" s="81">
        <v>20</v>
      </c>
      <c r="J21" s="3" t="s">
        <v>39</v>
      </c>
      <c r="K21" s="12"/>
      <c r="L21" s="70" t="str">
        <f t="shared" si="1"/>
        <v>23MB00208</v>
      </c>
      <c r="M21" s="30"/>
      <c r="N21" s="16" t="s">
        <v>32</v>
      </c>
      <c r="O21" s="71">
        <v>8</v>
      </c>
    </row>
    <row r="22" spans="1:15" ht="21.95" customHeight="1">
      <c r="A22" s="80"/>
      <c r="I22" s="81">
        <v>21</v>
      </c>
      <c r="J22" s="3" t="s">
        <v>40</v>
      </c>
      <c r="K22" s="12"/>
      <c r="L22" s="70" t="str">
        <f t="shared" si="1"/>
        <v>23MB00209</v>
      </c>
      <c r="M22" s="30"/>
      <c r="N22" s="16" t="s">
        <v>32</v>
      </c>
      <c r="O22" s="71">
        <v>9</v>
      </c>
    </row>
    <row r="23" spans="1:15" ht="21.95" customHeight="1">
      <c r="A23" s="85" t="s">
        <v>41</v>
      </c>
      <c r="B23" s="86" t="s">
        <v>42</v>
      </c>
      <c r="C23" s="87"/>
      <c r="D23" s="87"/>
      <c r="E23" s="87"/>
      <c r="F23" s="87"/>
      <c r="G23" s="87"/>
      <c r="H23" s="88"/>
      <c r="I23" s="81">
        <v>22</v>
      </c>
      <c r="J23" s="3" t="s">
        <v>43</v>
      </c>
      <c r="K23" s="12"/>
      <c r="L23" s="70" t="str">
        <f>J22</f>
        <v>23MB00210</v>
      </c>
      <c r="M23" s="30"/>
      <c r="N23" s="16" t="s">
        <v>32</v>
      </c>
      <c r="O23" s="71">
        <v>10</v>
      </c>
    </row>
    <row r="24" spans="1:15" ht="21.95" customHeight="1">
      <c r="A24" s="85"/>
      <c r="B24" s="89"/>
      <c r="C24" s="90"/>
      <c r="D24" s="90"/>
      <c r="E24" s="90"/>
      <c r="F24" s="90"/>
      <c r="G24" s="90"/>
      <c r="H24" s="91"/>
      <c r="I24" s="81">
        <v>23</v>
      </c>
      <c r="J24" s="3" t="s">
        <v>44</v>
      </c>
      <c r="K24" s="12"/>
      <c r="L24" s="70" t="str">
        <f t="shared" si="1"/>
        <v>23MB00211</v>
      </c>
      <c r="M24" s="30"/>
      <c r="N24" s="16" t="s">
        <v>32</v>
      </c>
      <c r="O24" s="71">
        <v>11</v>
      </c>
    </row>
    <row r="25" spans="1:15" ht="21.95" customHeight="1">
      <c r="A25" s="85"/>
      <c r="B25" s="92"/>
      <c r="C25" s="93"/>
      <c r="D25" s="93"/>
      <c r="E25" s="93"/>
      <c r="F25" s="93"/>
      <c r="G25" s="93"/>
      <c r="H25" s="94"/>
      <c r="I25" s="81">
        <v>24</v>
      </c>
      <c r="J25" s="3" t="s">
        <v>45</v>
      </c>
      <c r="K25" s="12"/>
      <c r="L25" s="72" t="s">
        <v>46</v>
      </c>
      <c r="M25" s="31" t="s">
        <v>30</v>
      </c>
      <c r="N25" s="23" t="s">
        <v>32</v>
      </c>
      <c r="O25" s="73">
        <v>12</v>
      </c>
    </row>
    <row r="26" spans="1:15" ht="21.95" customHeight="1">
      <c r="I26" s="81">
        <v>25</v>
      </c>
      <c r="J26" s="3" t="s">
        <v>47</v>
      </c>
      <c r="K26" s="12"/>
      <c r="L26" s="74" t="str">
        <f>J24</f>
        <v>23MB00212</v>
      </c>
      <c r="M26" s="32"/>
      <c r="N26" s="22" t="s">
        <v>48</v>
      </c>
      <c r="O26" s="75">
        <v>1</v>
      </c>
    </row>
    <row r="27" spans="1:15" ht="21.95" customHeight="1">
      <c r="I27" s="81">
        <v>26</v>
      </c>
      <c r="J27" s="3" t="s">
        <v>49</v>
      </c>
      <c r="K27" s="12"/>
      <c r="L27" s="64" t="str">
        <f t="shared" ref="L27:L36" si="2">J25</f>
        <v>23MB00213</v>
      </c>
      <c r="M27" s="26"/>
      <c r="N27" s="21" t="s">
        <v>48</v>
      </c>
      <c r="O27" s="65">
        <v>2</v>
      </c>
    </row>
    <row r="28" spans="1:15" ht="21.95" customHeight="1">
      <c r="I28" s="81">
        <v>27</v>
      </c>
      <c r="J28" s="3" t="s">
        <v>50</v>
      </c>
      <c r="K28" s="12"/>
      <c r="L28" s="64" t="str">
        <f t="shared" si="2"/>
        <v>23MB00214</v>
      </c>
      <c r="M28" s="26"/>
      <c r="N28" s="21" t="s">
        <v>48</v>
      </c>
      <c r="O28" s="65">
        <v>3</v>
      </c>
    </row>
    <row r="29" spans="1:15" ht="21.95" customHeight="1">
      <c r="I29" s="81">
        <v>28</v>
      </c>
      <c r="J29" s="3" t="s">
        <v>51</v>
      </c>
      <c r="K29" s="12"/>
      <c r="L29" s="64" t="str">
        <f t="shared" si="2"/>
        <v>23MB00215</v>
      </c>
      <c r="M29" s="26"/>
      <c r="N29" s="21" t="s">
        <v>48</v>
      </c>
      <c r="O29" s="65">
        <v>4</v>
      </c>
    </row>
    <row r="30" spans="1:15" ht="21.95" customHeight="1">
      <c r="I30" s="81">
        <v>29</v>
      </c>
      <c r="J30" s="3" t="s">
        <v>52</v>
      </c>
      <c r="K30" s="12"/>
      <c r="L30" s="64" t="str">
        <f t="shared" si="2"/>
        <v>23MB00216</v>
      </c>
      <c r="M30" s="26"/>
      <c r="N30" s="21" t="s">
        <v>48</v>
      </c>
      <c r="O30" s="65">
        <v>5</v>
      </c>
    </row>
    <row r="31" spans="1:15" ht="21.95" customHeight="1">
      <c r="I31" s="81">
        <v>30</v>
      </c>
      <c r="J31" s="3" t="s">
        <v>53</v>
      </c>
      <c r="K31" s="12"/>
      <c r="L31" s="64" t="str">
        <f t="shared" si="2"/>
        <v>23MB00217</v>
      </c>
      <c r="M31" s="26"/>
      <c r="N31" s="21" t="s">
        <v>48</v>
      </c>
      <c r="O31" s="65">
        <v>6</v>
      </c>
    </row>
    <row r="32" spans="1:15" ht="21.95" customHeight="1">
      <c r="I32" s="81">
        <v>31</v>
      </c>
      <c r="J32" s="3" t="s">
        <v>54</v>
      </c>
      <c r="K32" s="12"/>
      <c r="L32" s="64" t="str">
        <f t="shared" si="2"/>
        <v>23MB00218</v>
      </c>
      <c r="M32" s="26"/>
      <c r="N32" s="21" t="s">
        <v>48</v>
      </c>
      <c r="O32" s="65">
        <v>7</v>
      </c>
    </row>
    <row r="33" spans="1:15" ht="21.95" customHeight="1">
      <c r="I33" s="81">
        <v>32</v>
      </c>
      <c r="J33" s="3" t="s">
        <v>55</v>
      </c>
      <c r="K33" s="12"/>
      <c r="L33" s="64" t="str">
        <f t="shared" si="2"/>
        <v>23MB00219</v>
      </c>
      <c r="M33" s="26"/>
      <c r="N33" s="21" t="s">
        <v>48</v>
      </c>
      <c r="O33" s="65">
        <v>8</v>
      </c>
    </row>
    <row r="34" spans="1:15" ht="21.95" customHeight="1">
      <c r="I34" s="81">
        <v>33</v>
      </c>
      <c r="J34" s="3" t="s">
        <v>56</v>
      </c>
      <c r="K34" s="12"/>
      <c r="L34" s="64" t="str">
        <f t="shared" si="2"/>
        <v>23MB00220</v>
      </c>
      <c r="M34" s="26"/>
      <c r="N34" s="21" t="s">
        <v>48</v>
      </c>
      <c r="O34" s="65">
        <v>9</v>
      </c>
    </row>
    <row r="35" spans="1:15" ht="21.95" customHeight="1">
      <c r="I35" s="81">
        <v>34</v>
      </c>
      <c r="J35" s="3" t="s">
        <v>57</v>
      </c>
      <c r="K35" s="12"/>
      <c r="L35" s="64" t="str">
        <f t="shared" si="2"/>
        <v>23MB00221</v>
      </c>
      <c r="M35" s="26"/>
      <c r="N35" s="21" t="s">
        <v>48</v>
      </c>
      <c r="O35" s="65">
        <v>10</v>
      </c>
    </row>
    <row r="36" spans="1:15" ht="21.95" customHeight="1">
      <c r="I36" s="81">
        <v>35</v>
      </c>
      <c r="J36" s="3" t="s">
        <v>58</v>
      </c>
      <c r="K36" s="12"/>
      <c r="L36" s="64" t="str">
        <f t="shared" si="2"/>
        <v>23MB00222</v>
      </c>
      <c r="M36" s="26"/>
      <c r="N36" s="21" t="s">
        <v>48</v>
      </c>
      <c r="O36" s="65">
        <v>11</v>
      </c>
    </row>
    <row r="37" spans="1:15" ht="21.95" customHeight="1">
      <c r="I37" s="81">
        <v>36</v>
      </c>
      <c r="J37" s="3" t="s">
        <v>59</v>
      </c>
      <c r="K37" s="12"/>
      <c r="L37" s="66" t="s">
        <v>60</v>
      </c>
      <c r="M37" s="28" t="s">
        <v>30</v>
      </c>
      <c r="N37" s="19" t="s">
        <v>48</v>
      </c>
      <c r="O37" s="67">
        <v>12</v>
      </c>
    </row>
    <row r="38" spans="1:15" ht="21.95" customHeight="1">
      <c r="I38" s="81">
        <v>37</v>
      </c>
      <c r="J38" s="3" t="s">
        <v>61</v>
      </c>
      <c r="K38" s="12"/>
      <c r="L38" s="68" t="str">
        <f>J35</f>
        <v>23MB00223</v>
      </c>
      <c r="M38" s="29"/>
      <c r="N38" s="18" t="s">
        <v>62</v>
      </c>
      <c r="O38" s="69">
        <v>1</v>
      </c>
    </row>
    <row r="39" spans="1:15" ht="21.95" customHeight="1">
      <c r="I39" s="81">
        <v>38</v>
      </c>
      <c r="J39" s="3" t="s">
        <v>63</v>
      </c>
      <c r="K39" s="12"/>
      <c r="L39" s="70" t="str">
        <f t="shared" ref="L39:L48" si="3">J36</f>
        <v>23MB00224</v>
      </c>
      <c r="M39" s="30"/>
      <c r="N39" s="16" t="s">
        <v>62</v>
      </c>
      <c r="O39" s="71">
        <v>2</v>
      </c>
    </row>
    <row r="40" spans="1:15" ht="21.95" customHeight="1">
      <c r="I40" s="81">
        <v>39</v>
      </c>
      <c r="J40" s="3" t="s">
        <v>64</v>
      </c>
      <c r="K40" s="12"/>
      <c r="L40" s="70" t="str">
        <f t="shared" si="3"/>
        <v>23MB00225</v>
      </c>
      <c r="M40" s="30"/>
      <c r="N40" s="16" t="s">
        <v>62</v>
      </c>
      <c r="O40" s="71">
        <v>3</v>
      </c>
    </row>
    <row r="41" spans="1:15" ht="21.95" customHeight="1">
      <c r="I41" s="81">
        <v>40</v>
      </c>
      <c r="J41" s="3" t="s">
        <v>65</v>
      </c>
      <c r="K41" s="12"/>
      <c r="L41" s="70" t="str">
        <f t="shared" si="3"/>
        <v>23MB00226</v>
      </c>
      <c r="M41" s="30"/>
      <c r="N41" s="16" t="s">
        <v>62</v>
      </c>
      <c r="O41" s="71">
        <v>4</v>
      </c>
    </row>
    <row r="42" spans="1:15" ht="21.95" customHeight="1">
      <c r="I42" s="81">
        <v>41</v>
      </c>
      <c r="J42" s="3" t="s">
        <v>66</v>
      </c>
      <c r="K42" s="12"/>
      <c r="L42" s="70" t="str">
        <f t="shared" si="3"/>
        <v>23MB00227</v>
      </c>
      <c r="M42" s="30"/>
      <c r="N42" s="16" t="s">
        <v>62</v>
      </c>
      <c r="O42" s="71">
        <v>5</v>
      </c>
    </row>
    <row r="43" spans="1:15" ht="21.95" customHeight="1">
      <c r="A43" s="57"/>
      <c r="I43" s="81">
        <v>42</v>
      </c>
      <c r="J43" s="3" t="s">
        <v>67</v>
      </c>
      <c r="K43" s="12"/>
      <c r="L43" s="70" t="str">
        <f>J40</f>
        <v>23MB00228</v>
      </c>
      <c r="M43" s="30"/>
      <c r="N43" s="16" t="s">
        <v>62</v>
      </c>
      <c r="O43" s="71">
        <v>6</v>
      </c>
    </row>
    <row r="44" spans="1:15" ht="21.95" customHeight="1">
      <c r="A44" s="57"/>
      <c r="I44" s="81">
        <v>43</v>
      </c>
      <c r="J44" s="3" t="s">
        <v>68</v>
      </c>
      <c r="K44" s="12"/>
      <c r="L44" s="70" t="str">
        <f>J41</f>
        <v>23MB00229</v>
      </c>
      <c r="M44" s="30"/>
      <c r="N44" s="16" t="s">
        <v>62</v>
      </c>
      <c r="O44" s="71">
        <v>7</v>
      </c>
    </row>
    <row r="45" spans="1:15" ht="21.95" customHeight="1">
      <c r="I45" s="81">
        <v>44</v>
      </c>
      <c r="J45" s="3" t="s">
        <v>69</v>
      </c>
      <c r="K45" s="12"/>
      <c r="L45" s="70" t="str">
        <f>J42</f>
        <v>23MB00230</v>
      </c>
      <c r="M45" s="30"/>
      <c r="N45" s="16" t="s">
        <v>62</v>
      </c>
      <c r="O45" s="71">
        <v>8</v>
      </c>
    </row>
    <row r="46" spans="1:15" ht="21.95" customHeight="1">
      <c r="I46" s="81">
        <v>45</v>
      </c>
      <c r="J46" s="3" t="s">
        <v>70</v>
      </c>
      <c r="K46" s="12"/>
      <c r="L46" s="70" t="str">
        <f t="shared" si="3"/>
        <v>23MB00231</v>
      </c>
      <c r="M46" s="30"/>
      <c r="N46" s="16" t="s">
        <v>62</v>
      </c>
      <c r="O46" s="71">
        <v>9</v>
      </c>
    </row>
    <row r="47" spans="1:15" ht="21.95" customHeight="1">
      <c r="I47" s="81">
        <v>46</v>
      </c>
      <c r="J47" s="3" t="s">
        <v>71</v>
      </c>
      <c r="K47" s="12"/>
      <c r="L47" s="70" t="str">
        <f t="shared" si="3"/>
        <v>23MB00232</v>
      </c>
      <c r="M47" s="30"/>
      <c r="N47" s="16" t="s">
        <v>62</v>
      </c>
      <c r="O47" s="71">
        <v>10</v>
      </c>
    </row>
    <row r="48" spans="1:15" ht="21.95" customHeight="1">
      <c r="I48" s="81">
        <v>47</v>
      </c>
      <c r="J48" s="3" t="s">
        <v>72</v>
      </c>
      <c r="K48" s="12"/>
      <c r="L48" s="70" t="str">
        <f t="shared" si="3"/>
        <v>23MB00233</v>
      </c>
      <c r="M48" s="30"/>
      <c r="N48" s="16" t="s">
        <v>62</v>
      </c>
      <c r="O48" s="71">
        <v>11</v>
      </c>
    </row>
    <row r="49" spans="9:15" ht="21.95" customHeight="1">
      <c r="I49" s="81">
        <v>48</v>
      </c>
      <c r="J49" s="3" t="s">
        <v>73</v>
      </c>
      <c r="K49" s="12"/>
      <c r="L49" s="72" t="s">
        <v>74</v>
      </c>
      <c r="M49" s="31" t="s">
        <v>30</v>
      </c>
      <c r="N49" s="23" t="s">
        <v>62</v>
      </c>
      <c r="O49" s="73">
        <v>12</v>
      </c>
    </row>
    <row r="50" spans="9:15" ht="21.95" customHeight="1">
      <c r="I50" s="81">
        <v>49</v>
      </c>
      <c r="J50" s="3" t="s">
        <v>75</v>
      </c>
      <c r="K50" s="12"/>
      <c r="L50" s="74" t="str">
        <f>J46</f>
        <v>23MB00234</v>
      </c>
      <c r="M50" s="32"/>
      <c r="N50" s="22" t="s">
        <v>76</v>
      </c>
      <c r="O50" s="75">
        <v>1</v>
      </c>
    </row>
    <row r="51" spans="9:15" ht="21.95" customHeight="1">
      <c r="I51" s="81">
        <v>50</v>
      </c>
      <c r="J51" s="3" t="s">
        <v>77</v>
      </c>
      <c r="K51" s="12"/>
      <c r="L51" s="64" t="str">
        <f t="shared" ref="L51:L60" si="4">J47</f>
        <v>23MB00235</v>
      </c>
      <c r="M51" s="26"/>
      <c r="N51" s="21" t="s">
        <v>76</v>
      </c>
      <c r="O51" s="65">
        <v>2</v>
      </c>
    </row>
    <row r="52" spans="9:15" ht="21.95" customHeight="1">
      <c r="I52" s="81">
        <v>51</v>
      </c>
      <c r="J52" s="3" t="s">
        <v>78</v>
      </c>
      <c r="K52" s="12"/>
      <c r="L52" s="64" t="str">
        <f t="shared" si="4"/>
        <v>23MB00236</v>
      </c>
      <c r="M52" s="26"/>
      <c r="N52" s="21" t="s">
        <v>76</v>
      </c>
      <c r="O52" s="65">
        <v>3</v>
      </c>
    </row>
    <row r="53" spans="9:15" ht="21.95" customHeight="1" thickTop="1" thickBot="1">
      <c r="I53" s="81">
        <v>52</v>
      </c>
      <c r="J53" s="3" t="s">
        <v>79</v>
      </c>
      <c r="K53" s="12"/>
      <c r="L53" s="64" t="str">
        <f t="shared" si="4"/>
        <v>23MB00237</v>
      </c>
      <c r="M53" s="26"/>
      <c r="N53" s="21" t="s">
        <v>76</v>
      </c>
      <c r="O53" s="65">
        <v>4</v>
      </c>
    </row>
    <row r="54" spans="9:15" ht="21.95" customHeight="1" thickTop="1" thickBot="1">
      <c r="I54" s="81">
        <v>53</v>
      </c>
      <c r="J54" s="3" t="s">
        <v>80</v>
      </c>
      <c r="K54" s="12"/>
      <c r="L54" s="64" t="str">
        <f t="shared" si="4"/>
        <v>23MB00238</v>
      </c>
      <c r="M54" s="26"/>
      <c r="N54" s="21" t="s">
        <v>76</v>
      </c>
      <c r="O54" s="65">
        <v>5</v>
      </c>
    </row>
    <row r="55" spans="9:15" ht="21.95" customHeight="1" thickTop="1" thickBot="1">
      <c r="I55" s="81">
        <v>54</v>
      </c>
      <c r="J55" s="3" t="s">
        <v>81</v>
      </c>
      <c r="K55" s="12"/>
      <c r="L55" s="64" t="str">
        <f t="shared" si="4"/>
        <v>23MB00239</v>
      </c>
      <c r="M55" s="26"/>
      <c r="N55" s="21" t="s">
        <v>76</v>
      </c>
      <c r="O55" s="65">
        <v>6</v>
      </c>
    </row>
    <row r="56" spans="9:15" ht="21.95" customHeight="1" thickTop="1" thickBot="1">
      <c r="I56" s="81">
        <v>55</v>
      </c>
      <c r="J56" s="3" t="s">
        <v>82</v>
      </c>
      <c r="K56" s="12"/>
      <c r="L56" s="64" t="str">
        <f t="shared" si="4"/>
        <v>23MB00240</v>
      </c>
      <c r="M56" s="26"/>
      <c r="N56" s="21" t="s">
        <v>76</v>
      </c>
      <c r="O56" s="65">
        <v>7</v>
      </c>
    </row>
    <row r="57" spans="9:15" ht="21.95" customHeight="1" thickTop="1" thickBot="1">
      <c r="I57" s="81">
        <v>56</v>
      </c>
      <c r="J57" s="3" t="s">
        <v>83</v>
      </c>
      <c r="K57" s="12"/>
      <c r="L57" s="64" t="str">
        <f t="shared" si="4"/>
        <v>23MB00241</v>
      </c>
      <c r="M57" s="26"/>
      <c r="N57" s="21" t="s">
        <v>76</v>
      </c>
      <c r="O57" s="65">
        <v>8</v>
      </c>
    </row>
    <row r="58" spans="9:15" ht="21.95" customHeight="1" thickTop="1" thickBot="1">
      <c r="I58" s="81">
        <v>57</v>
      </c>
      <c r="J58" s="3" t="s">
        <v>84</v>
      </c>
      <c r="K58" s="12"/>
      <c r="L58" s="64" t="str">
        <f t="shared" si="4"/>
        <v>23MB00242</v>
      </c>
      <c r="M58" s="26"/>
      <c r="N58" s="21" t="s">
        <v>76</v>
      </c>
      <c r="O58" s="65">
        <v>9</v>
      </c>
    </row>
    <row r="59" spans="9:15" ht="21.95" customHeight="1" thickTop="1" thickBot="1">
      <c r="I59" s="81">
        <v>58</v>
      </c>
      <c r="J59" s="3" t="s">
        <v>85</v>
      </c>
      <c r="K59" s="12"/>
      <c r="L59" s="64" t="str">
        <f t="shared" si="4"/>
        <v>23MB00243</v>
      </c>
      <c r="M59" s="26"/>
      <c r="N59" s="21" t="s">
        <v>76</v>
      </c>
      <c r="O59" s="65">
        <v>10</v>
      </c>
    </row>
    <row r="60" spans="9:15" ht="21.95" customHeight="1" thickTop="1" thickBot="1">
      <c r="I60" s="81">
        <v>59</v>
      </c>
      <c r="J60" s="3" t="s">
        <v>86</v>
      </c>
      <c r="K60" s="12"/>
      <c r="L60" s="64" t="str">
        <f t="shared" si="4"/>
        <v>23MB00244</v>
      </c>
      <c r="M60" s="26"/>
      <c r="N60" s="21" t="s">
        <v>76</v>
      </c>
      <c r="O60" s="65">
        <v>11</v>
      </c>
    </row>
    <row r="61" spans="9:15" ht="21.95" customHeight="1" thickTop="1" thickBot="1">
      <c r="I61" s="81">
        <v>60</v>
      </c>
      <c r="J61" s="3" t="s">
        <v>87</v>
      </c>
      <c r="K61" s="12"/>
      <c r="L61" s="64" t="s">
        <v>88</v>
      </c>
      <c r="M61" s="28" t="s">
        <v>30</v>
      </c>
      <c r="N61" s="19" t="s">
        <v>76</v>
      </c>
      <c r="O61" s="67">
        <v>12</v>
      </c>
    </row>
    <row r="62" spans="9:15" ht="21.95" customHeight="1" thickTop="1" thickBot="1">
      <c r="I62" s="81">
        <v>61</v>
      </c>
      <c r="J62" s="3" t="s">
        <v>89</v>
      </c>
      <c r="K62" s="12"/>
      <c r="L62" s="68" t="str">
        <f>J57</f>
        <v>23MB00245</v>
      </c>
      <c r="M62" s="29"/>
      <c r="N62" s="18" t="s">
        <v>90</v>
      </c>
      <c r="O62" s="69">
        <v>1</v>
      </c>
    </row>
    <row r="63" spans="9:15" ht="21.95" customHeight="1" thickTop="1" thickBot="1">
      <c r="I63" s="81">
        <v>62</v>
      </c>
      <c r="J63" s="3" t="s">
        <v>91</v>
      </c>
      <c r="K63" s="12"/>
      <c r="L63" s="70" t="str">
        <f t="shared" ref="L63:L72" si="5">J58</f>
        <v>23MB00246</v>
      </c>
      <c r="M63" s="30"/>
      <c r="N63" s="16" t="s">
        <v>90</v>
      </c>
      <c r="O63" s="71">
        <v>2</v>
      </c>
    </row>
    <row r="64" spans="9:15" ht="21.95" customHeight="1" thickTop="1" thickBot="1">
      <c r="I64" s="81">
        <v>63</v>
      </c>
      <c r="J64" s="3" t="s">
        <v>92</v>
      </c>
      <c r="K64" s="12"/>
      <c r="L64" s="70" t="str">
        <f t="shared" si="5"/>
        <v>23MB00247</v>
      </c>
      <c r="M64" s="30"/>
      <c r="N64" s="16" t="s">
        <v>90</v>
      </c>
      <c r="O64" s="71">
        <v>3</v>
      </c>
    </row>
    <row r="65" spans="9:15" ht="21.95" customHeight="1" thickTop="1" thickBot="1">
      <c r="I65" s="81">
        <v>64</v>
      </c>
      <c r="J65" s="3" t="s">
        <v>93</v>
      </c>
      <c r="K65" s="12"/>
      <c r="L65" s="70" t="str">
        <f t="shared" si="5"/>
        <v>23MB00248</v>
      </c>
      <c r="M65" s="30"/>
      <c r="N65" s="16" t="s">
        <v>90</v>
      </c>
      <c r="O65" s="71">
        <v>4</v>
      </c>
    </row>
    <row r="66" spans="9:15" ht="21.95" customHeight="1" thickTop="1" thickBot="1">
      <c r="I66" s="81">
        <v>65</v>
      </c>
      <c r="J66" s="3" t="s">
        <v>94</v>
      </c>
      <c r="K66" s="12"/>
      <c r="L66" s="70" t="str">
        <f t="shared" si="5"/>
        <v>23MB00249</v>
      </c>
      <c r="M66" s="30"/>
      <c r="N66" s="16" t="s">
        <v>90</v>
      </c>
      <c r="O66" s="71">
        <v>5</v>
      </c>
    </row>
    <row r="67" spans="9:15" ht="21.95" customHeight="1" thickTop="1" thickBot="1">
      <c r="I67" s="81">
        <v>66</v>
      </c>
      <c r="J67" s="3" t="s">
        <v>95</v>
      </c>
      <c r="K67" s="12"/>
      <c r="L67" s="70" t="str">
        <f t="shared" si="5"/>
        <v>23MB00250</v>
      </c>
      <c r="M67" s="30"/>
      <c r="N67" s="16" t="s">
        <v>90</v>
      </c>
      <c r="O67" s="71">
        <v>6</v>
      </c>
    </row>
    <row r="68" spans="9:15" ht="21.95" customHeight="1" thickTop="1" thickBot="1">
      <c r="I68" s="81">
        <v>67</v>
      </c>
      <c r="J68" s="3" t="s">
        <v>96</v>
      </c>
      <c r="K68" s="12"/>
      <c r="L68" s="70" t="str">
        <f t="shared" si="5"/>
        <v>23MB00251</v>
      </c>
      <c r="M68" s="30"/>
      <c r="N68" s="16" t="s">
        <v>90</v>
      </c>
      <c r="O68" s="71">
        <v>7</v>
      </c>
    </row>
    <row r="69" spans="9:15" ht="21.95" customHeight="1" thickTop="1" thickBot="1">
      <c r="I69" s="81">
        <v>68</v>
      </c>
      <c r="J69" s="3" t="s">
        <v>97</v>
      </c>
      <c r="K69" s="12"/>
      <c r="L69" s="70" t="str">
        <f t="shared" si="5"/>
        <v>23MB00252</v>
      </c>
      <c r="M69" s="30"/>
      <c r="N69" s="16" t="s">
        <v>90</v>
      </c>
      <c r="O69" s="71">
        <v>8</v>
      </c>
    </row>
    <row r="70" spans="9:15" ht="21.95" customHeight="1" thickTop="1" thickBot="1">
      <c r="I70" s="81">
        <v>69</v>
      </c>
      <c r="J70" s="3" t="s">
        <v>98</v>
      </c>
      <c r="K70" s="12"/>
      <c r="L70" s="70" t="str">
        <f t="shared" si="5"/>
        <v>23MB00253</v>
      </c>
      <c r="M70" s="30"/>
      <c r="N70" s="16" t="s">
        <v>90</v>
      </c>
      <c r="O70" s="71">
        <v>9</v>
      </c>
    </row>
    <row r="71" spans="9:15" ht="21.95" customHeight="1" thickTop="1" thickBot="1">
      <c r="I71" s="81">
        <v>70</v>
      </c>
      <c r="J71" s="3" t="s">
        <v>99</v>
      </c>
      <c r="K71" s="12"/>
      <c r="L71" s="70" t="str">
        <f t="shared" si="5"/>
        <v>23MB00254</v>
      </c>
      <c r="M71" s="30"/>
      <c r="N71" s="16" t="s">
        <v>90</v>
      </c>
      <c r="O71" s="71">
        <v>10</v>
      </c>
    </row>
    <row r="72" spans="9:15" ht="21.95" customHeight="1" thickTop="1" thickBot="1">
      <c r="I72" s="81">
        <v>71</v>
      </c>
      <c r="J72" s="3" t="s">
        <v>100</v>
      </c>
      <c r="K72" s="12"/>
      <c r="L72" s="70" t="str">
        <f t="shared" si="5"/>
        <v>23MB00255</v>
      </c>
      <c r="M72" s="30"/>
      <c r="N72" s="16" t="s">
        <v>90</v>
      </c>
      <c r="O72" s="71">
        <v>11</v>
      </c>
    </row>
    <row r="73" spans="9:15" ht="21.95" customHeight="1" thickTop="1" thickBot="1">
      <c r="I73" s="81">
        <v>72</v>
      </c>
      <c r="J73" s="3" t="s">
        <v>101</v>
      </c>
      <c r="K73" s="12"/>
      <c r="L73" s="72" t="s">
        <v>102</v>
      </c>
      <c r="M73" s="31" t="s">
        <v>30</v>
      </c>
      <c r="N73" s="23" t="s">
        <v>90</v>
      </c>
      <c r="O73" s="73">
        <v>12</v>
      </c>
    </row>
    <row r="74" spans="9:15" ht="21.95" customHeight="1" thickTop="1" thickBot="1">
      <c r="I74" s="81">
        <v>73</v>
      </c>
      <c r="J74" s="3" t="s">
        <v>103</v>
      </c>
      <c r="K74" s="12"/>
      <c r="L74" s="74" t="str">
        <f>J68</f>
        <v>23MB00256</v>
      </c>
      <c r="M74" s="32"/>
      <c r="N74" s="22" t="s">
        <v>104</v>
      </c>
      <c r="O74" s="75">
        <v>1</v>
      </c>
    </row>
    <row r="75" spans="9:15" ht="21.95" customHeight="1" thickTop="1" thickBot="1">
      <c r="I75" s="81">
        <v>74</v>
      </c>
      <c r="J75" s="3" t="s">
        <v>105</v>
      </c>
      <c r="K75" s="12"/>
      <c r="L75" s="64" t="str">
        <f t="shared" ref="L75:L84" si="6">J69</f>
        <v>23MB00257</v>
      </c>
      <c r="M75" s="26"/>
      <c r="N75" s="21" t="s">
        <v>104</v>
      </c>
      <c r="O75" s="65">
        <v>2</v>
      </c>
    </row>
    <row r="76" spans="9:15" ht="21.95" customHeight="1" thickTop="1" thickBot="1">
      <c r="I76" s="81">
        <v>75</v>
      </c>
      <c r="J76" s="3" t="s">
        <v>106</v>
      </c>
      <c r="K76" s="12"/>
      <c r="L76" s="64" t="str">
        <f t="shared" si="6"/>
        <v>23MB00258</v>
      </c>
      <c r="M76" s="26"/>
      <c r="N76" s="21" t="s">
        <v>104</v>
      </c>
      <c r="O76" s="65">
        <v>3</v>
      </c>
    </row>
    <row r="77" spans="9:15" ht="21.95" customHeight="1" thickTop="1" thickBot="1">
      <c r="I77" s="81">
        <v>76</v>
      </c>
      <c r="J77" s="3" t="s">
        <v>107</v>
      </c>
      <c r="K77" s="12"/>
      <c r="L77" s="64" t="str">
        <f t="shared" si="6"/>
        <v>23MB00259</v>
      </c>
      <c r="M77" s="26"/>
      <c r="N77" s="21" t="s">
        <v>104</v>
      </c>
      <c r="O77" s="65">
        <v>4</v>
      </c>
    </row>
    <row r="78" spans="9:15" ht="21.95" customHeight="1" thickTop="1" thickBot="1">
      <c r="I78" s="81">
        <v>77</v>
      </c>
      <c r="J78" s="3" t="s">
        <v>108</v>
      </c>
      <c r="K78" s="12"/>
      <c r="L78" s="64" t="str">
        <f t="shared" si="6"/>
        <v>23MB00260</v>
      </c>
      <c r="M78" s="26"/>
      <c r="N78" s="21" t="s">
        <v>104</v>
      </c>
      <c r="O78" s="65">
        <v>5</v>
      </c>
    </row>
    <row r="79" spans="9:15" ht="21.95" customHeight="1" thickTop="1" thickBot="1">
      <c r="I79" s="81">
        <v>78</v>
      </c>
      <c r="J79" s="3" t="s">
        <v>109</v>
      </c>
      <c r="K79" s="12"/>
      <c r="L79" s="64" t="str">
        <f t="shared" si="6"/>
        <v>23MB00261</v>
      </c>
      <c r="M79" s="26"/>
      <c r="N79" s="21" t="s">
        <v>104</v>
      </c>
      <c r="O79" s="65">
        <v>6</v>
      </c>
    </row>
    <row r="80" spans="9:15" ht="21.95" customHeight="1" thickTop="1" thickBot="1">
      <c r="I80" s="81">
        <v>79</v>
      </c>
      <c r="J80" s="3" t="s">
        <v>110</v>
      </c>
      <c r="K80" s="12"/>
      <c r="L80" s="64" t="str">
        <f t="shared" si="6"/>
        <v>23MB00262</v>
      </c>
      <c r="M80" s="26"/>
      <c r="N80" s="21" t="s">
        <v>104</v>
      </c>
      <c r="O80" s="65">
        <v>7</v>
      </c>
    </row>
    <row r="81" spans="9:15" ht="21.95" customHeight="1" thickTop="1" thickBot="1">
      <c r="I81" s="81">
        <v>80</v>
      </c>
      <c r="J81" s="3" t="s">
        <v>111</v>
      </c>
      <c r="K81" s="12"/>
      <c r="L81" s="64" t="str">
        <f t="shared" si="6"/>
        <v>23MB00263</v>
      </c>
      <c r="M81" s="26"/>
      <c r="N81" s="21" t="s">
        <v>104</v>
      </c>
      <c r="O81" s="65">
        <v>8</v>
      </c>
    </row>
    <row r="82" spans="9:15" ht="21.95" customHeight="1" thickTop="1" thickBot="1">
      <c r="I82" s="81">
        <v>81</v>
      </c>
      <c r="J82" s="3" t="s">
        <v>112</v>
      </c>
      <c r="K82" s="12"/>
      <c r="L82" s="64" t="str">
        <f t="shared" si="6"/>
        <v>23MB00264</v>
      </c>
      <c r="M82" s="26"/>
      <c r="N82" s="21" t="s">
        <v>104</v>
      </c>
      <c r="O82" s="65">
        <v>9</v>
      </c>
    </row>
    <row r="83" spans="9:15" ht="21.95" customHeight="1" thickTop="1" thickBot="1">
      <c r="I83" s="81">
        <v>82</v>
      </c>
      <c r="J83" s="3" t="s">
        <v>113</v>
      </c>
      <c r="K83" s="12"/>
      <c r="L83" s="64" t="str">
        <f t="shared" si="6"/>
        <v>23MB00265</v>
      </c>
      <c r="M83" s="26"/>
      <c r="N83" s="21" t="s">
        <v>104</v>
      </c>
      <c r="O83" s="65">
        <v>10</v>
      </c>
    </row>
    <row r="84" spans="9:15" ht="21.95" customHeight="1" thickTop="1" thickBot="1">
      <c r="I84" s="81">
        <v>83</v>
      </c>
      <c r="J84" s="3" t="s">
        <v>114</v>
      </c>
      <c r="K84" s="12"/>
      <c r="L84" s="64" t="str">
        <f t="shared" si="6"/>
        <v>23MB00266</v>
      </c>
      <c r="M84" s="26"/>
      <c r="N84" s="21" t="s">
        <v>104</v>
      </c>
      <c r="O84" s="65">
        <v>11</v>
      </c>
    </row>
    <row r="85" spans="9:15" ht="21.95" customHeight="1" thickTop="1" thickBot="1">
      <c r="I85" s="81">
        <v>84</v>
      </c>
      <c r="J85" s="3" t="s">
        <v>115</v>
      </c>
      <c r="K85" s="12"/>
      <c r="L85" s="78" t="s">
        <v>116</v>
      </c>
      <c r="M85" s="51" t="s">
        <v>117</v>
      </c>
      <c r="N85" s="52" t="s">
        <v>104</v>
      </c>
      <c r="O85" s="79">
        <v>12</v>
      </c>
    </row>
    <row r="86" spans="9:15" ht="21.95" customHeight="1" thickTop="1" thickBot="1">
      <c r="I86" s="81">
        <v>85</v>
      </c>
      <c r="J86" s="3" t="s">
        <v>118</v>
      </c>
      <c r="K86" s="11"/>
      <c r="L86" s="76" t="str">
        <f>J79</f>
        <v>23MB00267</v>
      </c>
      <c r="M86" s="33"/>
      <c r="N86" s="17" t="s">
        <v>119</v>
      </c>
      <c r="O86" s="77">
        <v>1</v>
      </c>
    </row>
    <row r="87" spans="9:15" ht="21.95" customHeight="1" thickTop="1" thickBot="1">
      <c r="I87" s="81">
        <v>86</v>
      </c>
      <c r="J87" s="3" t="s">
        <v>120</v>
      </c>
      <c r="K87" s="11"/>
      <c r="L87" s="70" t="str">
        <f>J80</f>
        <v>23MB00268</v>
      </c>
      <c r="M87" s="30"/>
      <c r="N87" s="16" t="s">
        <v>119</v>
      </c>
      <c r="O87" s="71">
        <v>2</v>
      </c>
    </row>
    <row r="88" spans="9:15" ht="21.95" customHeight="1" thickTop="1" thickBot="1">
      <c r="I88" s="81">
        <v>87</v>
      </c>
      <c r="J88" s="3" t="s">
        <v>121</v>
      </c>
      <c r="K88" s="11"/>
      <c r="L88" s="70" t="str">
        <f t="shared" ref="L88:L92" si="7">J81</f>
        <v>23MB00269</v>
      </c>
      <c r="M88" s="30"/>
      <c r="N88" s="16" t="s">
        <v>119</v>
      </c>
      <c r="O88" s="71">
        <v>3</v>
      </c>
    </row>
    <row r="89" spans="9:15" ht="21.95" customHeight="1" thickTop="1" thickBot="1">
      <c r="I89" s="81">
        <v>88</v>
      </c>
      <c r="J89" s="3" t="s">
        <v>122</v>
      </c>
      <c r="K89" s="2"/>
      <c r="L89" s="70" t="str">
        <f t="shared" si="7"/>
        <v>23MB00270</v>
      </c>
      <c r="M89" s="30"/>
      <c r="N89" s="16" t="s">
        <v>119</v>
      </c>
      <c r="O89" s="71">
        <v>4</v>
      </c>
    </row>
    <row r="90" spans="9:15" ht="21.95" customHeight="1" thickTop="1">
      <c r="I90" s="81"/>
      <c r="J90" s="1"/>
      <c r="K90" s="2"/>
      <c r="L90" s="70" t="str">
        <f t="shared" si="7"/>
        <v>23MB00271</v>
      </c>
      <c r="M90" s="30"/>
      <c r="N90" s="16" t="s">
        <v>119</v>
      </c>
      <c r="O90" s="71">
        <v>5</v>
      </c>
    </row>
    <row r="91" spans="9:15" ht="21.95" customHeight="1">
      <c r="J91" s="1"/>
      <c r="K91" s="2"/>
      <c r="L91" s="70" t="str">
        <f t="shared" si="7"/>
        <v>23MB00272</v>
      </c>
      <c r="M91" s="30"/>
      <c r="N91" s="16" t="s">
        <v>119</v>
      </c>
      <c r="O91" s="71">
        <v>6</v>
      </c>
    </row>
    <row r="92" spans="9:15" ht="21.95" customHeight="1">
      <c r="J92" s="1"/>
      <c r="K92" s="2"/>
      <c r="L92" s="70" t="str">
        <f t="shared" si="7"/>
        <v>23MB00273</v>
      </c>
      <c r="M92" s="30"/>
      <c r="N92" s="16" t="s">
        <v>119</v>
      </c>
      <c r="O92" s="71">
        <v>7</v>
      </c>
    </row>
    <row r="93" spans="9:15" ht="21.95" customHeight="1">
      <c r="J93" s="2"/>
      <c r="K93" s="2"/>
      <c r="L93" s="70" t="str">
        <f>J86</f>
        <v>23MB00274</v>
      </c>
      <c r="M93" s="30"/>
      <c r="N93" s="16" t="s">
        <v>119</v>
      </c>
      <c r="O93" s="71">
        <v>8</v>
      </c>
    </row>
    <row r="94" spans="9:15" ht="21.95" customHeight="1">
      <c r="J94" s="2"/>
      <c r="K94" s="2"/>
      <c r="L94" s="70" t="str">
        <f>J87</f>
        <v>23MB00275</v>
      </c>
      <c r="M94" s="30"/>
      <c r="N94" s="16" t="s">
        <v>119</v>
      </c>
      <c r="O94" s="71">
        <v>9</v>
      </c>
    </row>
    <row r="95" spans="9:15" ht="21.95" customHeight="1">
      <c r="J95" s="2"/>
      <c r="K95" s="2"/>
      <c r="L95" s="70" t="str">
        <f t="shared" ref="L95:L96" si="8">J88</f>
        <v>23MB00276</v>
      </c>
      <c r="M95" s="30"/>
      <c r="N95" s="16" t="s">
        <v>119</v>
      </c>
      <c r="O95" s="71">
        <v>10</v>
      </c>
    </row>
    <row r="96" spans="9:15" ht="21.95" customHeight="1">
      <c r="J96" s="2"/>
      <c r="K96" s="2"/>
      <c r="L96" s="70" t="str">
        <f t="shared" si="8"/>
        <v>23MB00277</v>
      </c>
      <c r="M96" s="30"/>
      <c r="N96" s="16" t="s">
        <v>119</v>
      </c>
      <c r="O96" s="71">
        <v>11</v>
      </c>
    </row>
    <row r="97" spans="10:15" ht="21.95" customHeight="1">
      <c r="J97" s="2"/>
      <c r="K97" s="2"/>
      <c r="L97" s="78" t="s">
        <v>116</v>
      </c>
      <c r="M97" s="51" t="s">
        <v>123</v>
      </c>
      <c r="N97" s="52" t="s">
        <v>119</v>
      </c>
      <c r="O97" s="79">
        <v>12</v>
      </c>
    </row>
    <row r="98" spans="10:15">
      <c r="J98" s="2"/>
      <c r="K98" s="2"/>
    </row>
    <row r="99" spans="10:15">
      <c r="J99" s="2"/>
      <c r="K99" s="2"/>
    </row>
    <row r="100" spans="10:15">
      <c r="J100" s="2"/>
      <c r="K100" s="2"/>
      <c r="M100" s="35"/>
    </row>
    <row r="101" spans="10:15">
      <c r="J101" s="2"/>
      <c r="K101" s="2"/>
      <c r="M101" s="35"/>
    </row>
    <row r="102" spans="10:15">
      <c r="K102" s="2"/>
      <c r="M102" s="35"/>
    </row>
    <row r="103" spans="10:15">
      <c r="K103" s="2"/>
      <c r="M103" s="35"/>
    </row>
    <row r="104" spans="10:15">
      <c r="M104" s="35"/>
    </row>
    <row r="105" spans="10:15">
      <c r="M105" s="35"/>
    </row>
    <row r="107" spans="10:15">
      <c r="M107" s="35"/>
    </row>
    <row r="108" spans="10:15">
      <c r="M108" s="35"/>
    </row>
    <row r="109" spans="10:15">
      <c r="M109" s="35"/>
    </row>
    <row r="111" spans="10:15">
      <c r="M111" s="35"/>
    </row>
    <row r="112" spans="10:15">
      <c r="M112" s="35"/>
    </row>
    <row r="113" spans="13:13">
      <c r="M113" s="35"/>
    </row>
    <row r="115" spans="13:13">
      <c r="M115" s="35"/>
    </row>
    <row r="116" spans="13:13">
      <c r="M116" s="35"/>
    </row>
  </sheetData>
  <mergeCells count="12">
    <mergeCell ref="A23:A25"/>
    <mergeCell ref="B23:H25"/>
    <mergeCell ref="A10:A20"/>
    <mergeCell ref="B10:H20"/>
    <mergeCell ref="A1:H1"/>
    <mergeCell ref="B4:B5"/>
    <mergeCell ref="C4:H5"/>
    <mergeCell ref="B2:B3"/>
    <mergeCell ref="C2:H3"/>
    <mergeCell ref="B6:B7"/>
    <mergeCell ref="C6:H7"/>
    <mergeCell ref="B8:H9"/>
  </mergeCells>
  <phoneticPr fontId="14" type="noConversion"/>
  <pageMargins left="0.25" right="0.25" top="0.75" bottom="0.75" header="0.3" footer="0.3"/>
  <pageSetup scale="43" firstPageNumber="0" fitToHeight="0" orientation="portrait" r:id="rId1"/>
  <headerFooter alignWithMargins="0">
    <oddHeader>&amp;C&amp;"Arial,Bold"&amp;24VIRAL RNA EXTRACTION</oddHeader>
    <oddFooter>&amp;L&amp;"Times New Roman,Regular"&amp;12&amp;F&amp;C&amp;"Times New Roman,Regular"&amp;12&amp;D&amp;R&amp;"Times New Roman,Regular"&amp;12page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55"/>
  <sheetViews>
    <sheetView workbookViewId="0">
      <selection activeCell="S20" sqref="S20"/>
    </sheetView>
  </sheetViews>
  <sheetFormatPr defaultColWidth="8.7109375" defaultRowHeight="12.95"/>
  <cols>
    <col min="1" max="1" width="13" customWidth="1"/>
    <col min="13" max="13" width="10.140625" customWidth="1"/>
  </cols>
  <sheetData>
    <row r="1" spans="1:13" ht="18.95" thickBot="1">
      <c r="A1" s="137" t="s">
        <v>124</v>
      </c>
      <c r="B1" s="137"/>
      <c r="C1" s="137"/>
      <c r="D1" s="137"/>
      <c r="E1" s="137"/>
      <c r="F1" s="137"/>
      <c r="G1" s="137"/>
      <c r="H1" s="104"/>
    </row>
    <row r="2" spans="1:13" ht="18.75" customHeight="1" thickTop="1">
      <c r="A2" s="15" t="s">
        <v>6</v>
      </c>
      <c r="B2" s="138"/>
      <c r="C2" s="139"/>
      <c r="D2" s="8"/>
      <c r="E2" s="8"/>
      <c r="F2" s="8"/>
      <c r="G2" s="8"/>
      <c r="H2" s="9"/>
    </row>
    <row r="3" spans="1:13" ht="18.75" customHeight="1" thickBot="1">
      <c r="A3" s="15"/>
      <c r="B3" s="140"/>
      <c r="C3" s="141"/>
      <c r="D3" s="8"/>
      <c r="E3" s="8"/>
      <c r="F3" s="8"/>
      <c r="G3" s="8"/>
      <c r="H3" s="9"/>
    </row>
    <row r="4" spans="1:13" ht="15.75" customHeight="1" thickTop="1">
      <c r="A4" s="15" t="s">
        <v>125</v>
      </c>
      <c r="B4" s="142" t="str">
        <f>CONCATENATE("RTPCR_",Extraction!$B$2,"_",Extraction!$B$4)</f>
        <v>RTPCR_20241212_</v>
      </c>
      <c r="C4" s="143"/>
      <c r="D4" s="143"/>
      <c r="E4" s="143"/>
      <c r="F4" s="143"/>
      <c r="G4" s="143"/>
      <c r="H4" s="144"/>
    </row>
    <row r="5" spans="1:13" ht="15.75" customHeight="1" thickBot="1">
      <c r="A5" s="15"/>
      <c r="B5" s="145"/>
      <c r="C5" s="146"/>
      <c r="D5" s="146"/>
      <c r="E5" s="146"/>
      <c r="F5" s="146"/>
      <c r="G5" s="146"/>
      <c r="H5" s="147"/>
    </row>
    <row r="6" spans="1:13" ht="15.75" customHeight="1" thickTop="1">
      <c r="A6" s="15" t="s">
        <v>16</v>
      </c>
      <c r="B6" s="148"/>
      <c r="C6" s="149"/>
      <c r="D6" s="38"/>
      <c r="E6" s="38"/>
      <c r="F6" s="38"/>
      <c r="G6" s="38"/>
      <c r="H6" s="37"/>
    </row>
    <row r="7" spans="1:13" ht="15.75" customHeight="1" thickBot="1">
      <c r="A7" s="15"/>
      <c r="B7" s="150"/>
      <c r="C7" s="151"/>
      <c r="D7" s="38"/>
      <c r="E7" s="38"/>
      <c r="F7" s="38"/>
      <c r="G7" s="38"/>
      <c r="H7" s="37"/>
    </row>
    <row r="8" spans="1:13" ht="15" thickTop="1" thickBo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</row>
    <row r="9" spans="1:13" ht="17.100000000000001" thickTop="1">
      <c r="A9" s="43"/>
      <c r="B9" s="39">
        <v>1</v>
      </c>
      <c r="C9" s="39">
        <v>2</v>
      </c>
      <c r="D9" s="39">
        <v>3</v>
      </c>
      <c r="E9" s="39">
        <v>4</v>
      </c>
      <c r="F9" s="39">
        <v>5</v>
      </c>
      <c r="G9" s="39">
        <v>6</v>
      </c>
      <c r="H9" s="39">
        <v>7</v>
      </c>
      <c r="I9" s="39">
        <v>8</v>
      </c>
      <c r="J9" s="39">
        <v>9</v>
      </c>
      <c r="K9" s="39">
        <v>10</v>
      </c>
      <c r="L9" s="39">
        <v>11</v>
      </c>
      <c r="M9" s="40">
        <v>12</v>
      </c>
    </row>
    <row r="10" spans="1:13" ht="15.95">
      <c r="A10" s="41" t="s">
        <v>10</v>
      </c>
      <c r="B10" s="44" t="str">
        <f>Extraction!$L2</f>
        <v>22MB00150</v>
      </c>
      <c r="C10" s="44" t="str">
        <f>Extraction!$L3</f>
        <v>22MB00151</v>
      </c>
      <c r="D10" s="45" t="str">
        <f>Extraction!$L4</f>
        <v>22MB00152</v>
      </c>
      <c r="E10" s="45" t="str">
        <f>Extraction!$L5</f>
        <v>22MB00153</v>
      </c>
      <c r="F10" s="45" t="str">
        <f>Extraction!$L6</f>
        <v>22MB00154</v>
      </c>
      <c r="G10" s="45" t="str">
        <f>Extraction!$L7</f>
        <v>22MB00155</v>
      </c>
      <c r="H10" s="45" t="str">
        <f>Extraction!$L8</f>
        <v>22MB00156</v>
      </c>
      <c r="I10" s="45" t="str">
        <f>Extraction!$L9</f>
        <v>22MB00157</v>
      </c>
      <c r="J10" s="45" t="str">
        <f>Extraction!$L10</f>
        <v>22MB00158</v>
      </c>
      <c r="K10" s="45" t="str">
        <f>Extraction!$L11</f>
        <v>22MB00159</v>
      </c>
      <c r="L10" s="45" t="str">
        <f>Extraction!$L12</f>
        <v>22MB00160</v>
      </c>
      <c r="M10" s="46" t="str">
        <f>Extraction!$L13</f>
        <v>VTM-1</v>
      </c>
    </row>
    <row r="11" spans="1:13" ht="15.95">
      <c r="A11" s="41" t="s">
        <v>32</v>
      </c>
      <c r="B11" s="47" t="str">
        <f>Extraction!$L14</f>
        <v>23MB00201</v>
      </c>
      <c r="C11" s="47" t="str">
        <f>Extraction!$L15</f>
        <v>23MB00202</v>
      </c>
      <c r="D11" s="48" t="str">
        <f>Extraction!$L16</f>
        <v>23MB00203</v>
      </c>
      <c r="E11" s="48" t="str">
        <f>Extraction!$L17</f>
        <v>23MB00204</v>
      </c>
      <c r="F11" s="48" t="str">
        <f>Extraction!$L18</f>
        <v>23MB00205</v>
      </c>
      <c r="G11" s="48" t="str">
        <f>Extraction!$L19</f>
        <v>23MB00206</v>
      </c>
      <c r="H11" s="48" t="str">
        <f>Extraction!$L20</f>
        <v>23MB00207</v>
      </c>
      <c r="I11" s="48" t="str">
        <f>Extraction!$L21</f>
        <v>23MB00208</v>
      </c>
      <c r="J11" s="48" t="str">
        <f>Extraction!$L22</f>
        <v>23MB00209</v>
      </c>
      <c r="K11" s="48" t="str">
        <f>Extraction!$L23</f>
        <v>23MB00210</v>
      </c>
      <c r="L11" s="48" t="str">
        <f>Extraction!$L24</f>
        <v>23MB00211</v>
      </c>
      <c r="M11" s="46" t="str">
        <f>Extraction!$L25</f>
        <v>VTM-2</v>
      </c>
    </row>
    <row r="12" spans="1:13" ht="15.95">
      <c r="A12" s="41" t="s">
        <v>48</v>
      </c>
      <c r="B12" s="47" t="str">
        <f>Extraction!$L26</f>
        <v>23MB00212</v>
      </c>
      <c r="C12" s="47" t="str">
        <f>Extraction!$L27</f>
        <v>23MB00213</v>
      </c>
      <c r="D12" s="48" t="str">
        <f>Extraction!$L28</f>
        <v>23MB00214</v>
      </c>
      <c r="E12" s="48" t="str">
        <f>Extraction!$L29</f>
        <v>23MB00215</v>
      </c>
      <c r="F12" s="48" t="str">
        <f>Extraction!$L30</f>
        <v>23MB00216</v>
      </c>
      <c r="G12" s="48" t="str">
        <f>Extraction!$L31</f>
        <v>23MB00217</v>
      </c>
      <c r="H12" s="48" t="str">
        <f>Extraction!$L32</f>
        <v>23MB00218</v>
      </c>
      <c r="I12" s="48" t="str">
        <f>Extraction!$L33</f>
        <v>23MB00219</v>
      </c>
      <c r="J12" s="48" t="str">
        <f>Extraction!$L34</f>
        <v>23MB00220</v>
      </c>
      <c r="K12" s="48" t="str">
        <f>Extraction!$L35</f>
        <v>23MB00221</v>
      </c>
      <c r="L12" s="48" t="str">
        <f>Extraction!$L36</f>
        <v>23MB00222</v>
      </c>
      <c r="M12" s="46" t="str">
        <f>Extraction!$L37</f>
        <v>VTM-3</v>
      </c>
    </row>
    <row r="13" spans="1:13" ht="15.95">
      <c r="A13" s="41" t="s">
        <v>62</v>
      </c>
      <c r="B13" s="47" t="str">
        <f>Extraction!$L38</f>
        <v>23MB00223</v>
      </c>
      <c r="C13" s="47" t="str">
        <f>Extraction!$L39</f>
        <v>23MB00224</v>
      </c>
      <c r="D13" s="48" t="str">
        <f>Extraction!$L40</f>
        <v>23MB00225</v>
      </c>
      <c r="E13" s="48" t="str">
        <f>Extraction!$L41</f>
        <v>23MB00226</v>
      </c>
      <c r="F13" s="48" t="str">
        <f>Extraction!$L42</f>
        <v>23MB00227</v>
      </c>
      <c r="G13" s="48" t="str">
        <f>Extraction!$L43</f>
        <v>23MB00228</v>
      </c>
      <c r="H13" s="48" t="str">
        <f>Extraction!$L44</f>
        <v>23MB00229</v>
      </c>
      <c r="I13" s="48" t="str">
        <f>Extraction!$L45</f>
        <v>23MB00230</v>
      </c>
      <c r="J13" s="48" t="str">
        <f>Extraction!$L46</f>
        <v>23MB00231</v>
      </c>
      <c r="K13" s="48" t="str">
        <f>Extraction!$L47</f>
        <v>23MB00232</v>
      </c>
      <c r="L13" s="48" t="str">
        <f>Extraction!$L48</f>
        <v>23MB00233</v>
      </c>
      <c r="M13" s="46" t="str">
        <f>Extraction!$L49</f>
        <v>VTM-4</v>
      </c>
    </row>
    <row r="14" spans="1:13" ht="15.95">
      <c r="A14" s="41" t="s">
        <v>76</v>
      </c>
      <c r="B14" s="47" t="str">
        <f>Extraction!$L50</f>
        <v>23MB00234</v>
      </c>
      <c r="C14" s="47" t="str">
        <f>Extraction!$L51</f>
        <v>23MB00235</v>
      </c>
      <c r="D14" s="48" t="str">
        <f>Extraction!$L52</f>
        <v>23MB00236</v>
      </c>
      <c r="E14" s="48" t="str">
        <f>Extraction!$L53</f>
        <v>23MB00237</v>
      </c>
      <c r="F14" s="48" t="str">
        <f>Extraction!$L54</f>
        <v>23MB00238</v>
      </c>
      <c r="G14" s="48" t="str">
        <f>Extraction!$L55</f>
        <v>23MB00239</v>
      </c>
      <c r="H14" s="48" t="str">
        <f>Extraction!$L56</f>
        <v>23MB00240</v>
      </c>
      <c r="I14" s="48" t="str">
        <f>Extraction!$L57</f>
        <v>23MB00241</v>
      </c>
      <c r="J14" s="48" t="str">
        <f>Extraction!$L58</f>
        <v>23MB00242</v>
      </c>
      <c r="K14" s="48" t="str">
        <f>Extraction!$L59</f>
        <v>23MB00243</v>
      </c>
      <c r="L14" s="48" t="str">
        <f>Extraction!$L60</f>
        <v>23MB00244</v>
      </c>
      <c r="M14" s="46" t="str">
        <f>Extraction!$L61</f>
        <v>VTM-5</v>
      </c>
    </row>
    <row r="15" spans="1:13" ht="15.95">
      <c r="A15" s="41" t="s">
        <v>90</v>
      </c>
      <c r="B15" s="47" t="str">
        <f>Extraction!$L62</f>
        <v>23MB00245</v>
      </c>
      <c r="C15" s="47" t="str">
        <f>Extraction!$L63</f>
        <v>23MB00246</v>
      </c>
      <c r="D15" s="48" t="str">
        <f>Extraction!$L64</f>
        <v>23MB00247</v>
      </c>
      <c r="E15" s="48" t="str">
        <f>Extraction!$L65</f>
        <v>23MB00248</v>
      </c>
      <c r="F15" s="48" t="str">
        <f>Extraction!$L66</f>
        <v>23MB00249</v>
      </c>
      <c r="G15" s="48" t="str">
        <f>Extraction!$L67</f>
        <v>23MB00250</v>
      </c>
      <c r="H15" s="48" t="str">
        <f>Extraction!$L68</f>
        <v>23MB00251</v>
      </c>
      <c r="I15" s="48" t="str">
        <f>Extraction!$L69</f>
        <v>23MB00252</v>
      </c>
      <c r="J15" s="48" t="str">
        <f>Extraction!$L70</f>
        <v>23MB00253</v>
      </c>
      <c r="K15" s="48" t="str">
        <f>Extraction!$L71</f>
        <v>23MB00254</v>
      </c>
      <c r="L15" s="48" t="str">
        <f>Extraction!$L72</f>
        <v>23MB00255</v>
      </c>
      <c r="M15" s="46" t="str">
        <f>Extraction!$L73</f>
        <v>VTM-6</v>
      </c>
    </row>
    <row r="16" spans="1:13" ht="15.95">
      <c r="A16" s="41" t="s">
        <v>104</v>
      </c>
      <c r="B16" s="47" t="str">
        <f>Extraction!$L74</f>
        <v>23MB00256</v>
      </c>
      <c r="C16" s="47" t="str">
        <f>Extraction!$L75</f>
        <v>23MB00257</v>
      </c>
      <c r="D16" s="48" t="str">
        <f>Extraction!$L76</f>
        <v>23MB00258</v>
      </c>
      <c r="E16" s="48" t="str">
        <f>Extraction!$L77</f>
        <v>23MB00259</v>
      </c>
      <c r="F16" s="48" t="str">
        <f>Extraction!$L78</f>
        <v>23MB00260</v>
      </c>
      <c r="G16" s="48" t="str">
        <f>Extraction!$L79</f>
        <v>23MB00261</v>
      </c>
      <c r="H16" s="48" t="str">
        <f>Extraction!$L80</f>
        <v>23MB00262</v>
      </c>
      <c r="I16" s="48" t="str">
        <f>Extraction!$L81</f>
        <v>23MB00263</v>
      </c>
      <c r="J16" s="48" t="str">
        <f>Extraction!$L82</f>
        <v>23MB00264</v>
      </c>
      <c r="K16" s="48" t="str">
        <f>Extraction!$L83</f>
        <v>23MB00265</v>
      </c>
      <c r="L16" s="48" t="str">
        <f>Extraction!$L84</f>
        <v>23MB00266</v>
      </c>
      <c r="M16" s="83" t="str">
        <f>Extraction!$L85</f>
        <v>PR8</v>
      </c>
    </row>
    <row r="17" spans="1:15" ht="17.100000000000001" thickBot="1">
      <c r="A17" s="42" t="s">
        <v>119</v>
      </c>
      <c r="B17" s="49" t="str">
        <f>Extraction!$L86</f>
        <v>23MB00267</v>
      </c>
      <c r="C17" s="49" t="str">
        <f>Extraction!$L87</f>
        <v>23MB00268</v>
      </c>
      <c r="D17" s="50" t="str">
        <f>Extraction!$L88</f>
        <v>23MB00269</v>
      </c>
      <c r="E17" s="50" t="str">
        <f>Extraction!$L89</f>
        <v>23MB00270</v>
      </c>
      <c r="F17" s="50" t="str">
        <f>Extraction!$L90</f>
        <v>23MB00271</v>
      </c>
      <c r="G17" s="50" t="str">
        <f>Extraction!$L91</f>
        <v>23MB00272</v>
      </c>
      <c r="H17" s="50" t="str">
        <f>Extraction!$L92</f>
        <v>23MB00273</v>
      </c>
      <c r="I17" s="50" t="str">
        <f>Extraction!$L93</f>
        <v>23MB00274</v>
      </c>
      <c r="J17" s="56" t="str">
        <f>Extraction!$L94</f>
        <v>23MB00275</v>
      </c>
      <c r="K17" s="56" t="str">
        <f>Extraction!$L95</f>
        <v>23MB00276</v>
      </c>
      <c r="L17" s="56" t="str">
        <f>Extraction!$L96</f>
        <v>23MB00277</v>
      </c>
      <c r="M17" s="84" t="s">
        <v>116</v>
      </c>
    </row>
    <row r="18" spans="1:15" ht="14.1" thickTop="1"/>
    <row r="19" spans="1:15" ht="13.5" customHeight="1" thickBot="1"/>
    <row r="20" spans="1:15" ht="35.1" thickTop="1">
      <c r="A20" s="54" t="s">
        <v>126</v>
      </c>
      <c r="B20" s="152" t="s">
        <v>127</v>
      </c>
      <c r="C20" s="153"/>
      <c r="D20" s="131" t="s">
        <v>128</v>
      </c>
      <c r="E20" s="132"/>
      <c r="F20" s="133"/>
      <c r="G20" s="131" t="s">
        <v>129</v>
      </c>
      <c r="H20" s="132"/>
      <c r="I20" s="133"/>
      <c r="J20" s="131" t="s">
        <v>130</v>
      </c>
      <c r="K20" s="132"/>
      <c r="L20" s="133"/>
      <c r="M20" s="131" t="s">
        <v>131</v>
      </c>
      <c r="N20" s="132"/>
      <c r="O20" s="133"/>
    </row>
    <row r="21" spans="1:15" ht="15.6" customHeight="1" thickBot="1">
      <c r="A21" s="10"/>
      <c r="B21" s="154"/>
      <c r="C21" s="155"/>
      <c r="D21" s="134"/>
      <c r="E21" s="135"/>
      <c r="F21" s="136"/>
      <c r="G21" s="134"/>
      <c r="H21" s="135"/>
      <c r="I21" s="136"/>
      <c r="J21" s="134"/>
      <c r="K21" s="135"/>
      <c r="L21" s="136"/>
      <c r="M21" s="134"/>
      <c r="N21" s="135"/>
      <c r="O21" s="136"/>
    </row>
    <row r="22" spans="1:15" ht="14.85" customHeight="1" thickTop="1" thickBot="1">
      <c r="A22" s="10"/>
      <c r="B22" s="118" t="s">
        <v>132</v>
      </c>
      <c r="C22" s="119"/>
      <c r="D22" s="125"/>
      <c r="E22" s="126"/>
      <c r="F22" s="127"/>
      <c r="G22" s="122"/>
      <c r="H22" s="123"/>
      <c r="I22" s="124"/>
      <c r="J22" s="122"/>
      <c r="K22" s="123"/>
      <c r="L22" s="124"/>
      <c r="M22" s="122"/>
      <c r="N22" s="123"/>
      <c r="O22" s="124"/>
    </row>
    <row r="23" spans="1:15" ht="14.85" customHeight="1" thickTop="1" thickBot="1">
      <c r="A23" s="10"/>
      <c r="B23" s="120"/>
      <c r="C23" s="121"/>
      <c r="D23" s="128"/>
      <c r="E23" s="129"/>
      <c r="F23" s="130"/>
      <c r="G23" s="122"/>
      <c r="H23" s="123"/>
      <c r="I23" s="124"/>
      <c r="J23" s="122"/>
      <c r="K23" s="123"/>
      <c r="L23" s="124"/>
      <c r="M23" s="122"/>
      <c r="N23" s="123"/>
      <c r="O23" s="124"/>
    </row>
    <row r="24" spans="1:15" ht="16.350000000000001" customHeight="1" thickTop="1" thickBot="1">
      <c r="A24" s="10"/>
      <c r="B24" s="118" t="s">
        <v>133</v>
      </c>
      <c r="C24" s="119"/>
      <c r="D24" s="125"/>
      <c r="E24" s="126"/>
      <c r="F24" s="127"/>
      <c r="G24" s="122"/>
      <c r="H24" s="123"/>
      <c r="I24" s="124"/>
      <c r="J24" s="122"/>
      <c r="K24" s="123"/>
      <c r="L24" s="124"/>
      <c r="M24" s="122"/>
      <c r="N24" s="123"/>
      <c r="O24" s="124"/>
    </row>
    <row r="25" spans="1:15" ht="16.350000000000001" customHeight="1" thickTop="1" thickBot="1">
      <c r="A25" s="10"/>
      <c r="B25" s="120"/>
      <c r="C25" s="121"/>
      <c r="D25" s="128"/>
      <c r="E25" s="129"/>
      <c r="F25" s="130"/>
      <c r="G25" s="122"/>
      <c r="H25" s="123"/>
      <c r="I25" s="124"/>
      <c r="J25" s="122"/>
      <c r="K25" s="123"/>
      <c r="L25" s="124"/>
      <c r="M25" s="122"/>
      <c r="N25" s="123"/>
      <c r="O25" s="124"/>
    </row>
    <row r="26" spans="1:15" ht="16.350000000000001" customHeight="1" thickTop="1" thickBot="1">
      <c r="A26" s="10"/>
      <c r="B26" s="118" t="s">
        <v>134</v>
      </c>
      <c r="C26" s="119"/>
      <c r="D26" s="125"/>
      <c r="E26" s="126"/>
      <c r="F26" s="127"/>
      <c r="G26" s="122"/>
      <c r="H26" s="123"/>
      <c r="I26" s="124"/>
      <c r="J26" s="122"/>
      <c r="K26" s="123"/>
      <c r="L26" s="124"/>
      <c r="M26" s="122"/>
      <c r="N26" s="123"/>
      <c r="O26" s="124"/>
    </row>
    <row r="27" spans="1:15" ht="16.350000000000001" customHeight="1" thickTop="1" thickBot="1">
      <c r="A27" s="10"/>
      <c r="B27" s="120"/>
      <c r="C27" s="121"/>
      <c r="D27" s="128"/>
      <c r="E27" s="129"/>
      <c r="F27" s="130"/>
      <c r="G27" s="122"/>
      <c r="H27" s="123"/>
      <c r="I27" s="124"/>
      <c r="J27" s="122"/>
      <c r="K27" s="123"/>
      <c r="L27" s="124"/>
      <c r="M27" s="122"/>
      <c r="N27" s="123"/>
      <c r="O27" s="124"/>
    </row>
    <row r="28" spans="1:15" ht="16.350000000000001" customHeight="1" thickTop="1" thickBot="1">
      <c r="A28" s="10"/>
      <c r="B28" s="118" t="s">
        <v>135</v>
      </c>
      <c r="C28" s="119"/>
      <c r="D28" s="125"/>
      <c r="E28" s="126"/>
      <c r="F28" s="127"/>
      <c r="G28" s="122"/>
      <c r="H28" s="123"/>
      <c r="I28" s="124"/>
      <c r="J28" s="122"/>
      <c r="K28" s="123"/>
      <c r="L28" s="124"/>
      <c r="M28" s="122"/>
      <c r="N28" s="123"/>
      <c r="O28" s="124"/>
    </row>
    <row r="29" spans="1:15" ht="16.350000000000001" customHeight="1" thickTop="1" thickBot="1">
      <c r="A29" s="10"/>
      <c r="B29" s="120"/>
      <c r="C29" s="121"/>
      <c r="D29" s="128"/>
      <c r="E29" s="129"/>
      <c r="F29" s="130"/>
      <c r="G29" s="122"/>
      <c r="H29" s="123"/>
      <c r="I29" s="124"/>
      <c r="J29" s="122"/>
      <c r="K29" s="123"/>
      <c r="L29" s="124"/>
      <c r="M29" s="122"/>
      <c r="N29" s="123"/>
      <c r="O29" s="124"/>
    </row>
    <row r="30" spans="1:15" ht="16.350000000000001" customHeight="1" thickTop="1" thickBot="1">
      <c r="A30" s="10"/>
      <c r="B30" s="118" t="s">
        <v>136</v>
      </c>
      <c r="C30" s="119"/>
      <c r="D30" s="125"/>
      <c r="E30" s="126"/>
      <c r="F30" s="127"/>
      <c r="G30" s="122"/>
      <c r="H30" s="123"/>
      <c r="I30" s="124"/>
      <c r="J30" s="122"/>
      <c r="K30" s="123"/>
      <c r="L30" s="124"/>
      <c r="M30" s="122"/>
      <c r="N30" s="123"/>
      <c r="O30" s="124"/>
    </row>
    <row r="31" spans="1:15" ht="16.350000000000001" customHeight="1" thickTop="1" thickBot="1">
      <c r="A31" s="10"/>
      <c r="B31" s="120"/>
      <c r="C31" s="121"/>
      <c r="D31" s="128"/>
      <c r="E31" s="129"/>
      <c r="F31" s="130"/>
      <c r="G31" s="122"/>
      <c r="H31" s="123"/>
      <c r="I31" s="124"/>
      <c r="J31" s="122"/>
      <c r="K31" s="123"/>
      <c r="L31" s="124"/>
      <c r="M31" s="122"/>
      <c r="N31" s="123"/>
      <c r="O31" s="124"/>
    </row>
    <row r="32" spans="1:15" ht="16.350000000000001" customHeight="1" thickTop="1" thickBot="1">
      <c r="A32" s="10"/>
      <c r="B32" s="118" t="s">
        <v>137</v>
      </c>
      <c r="C32" s="119"/>
      <c r="D32" s="125"/>
      <c r="E32" s="126"/>
      <c r="F32" s="127"/>
      <c r="G32" s="122"/>
      <c r="H32" s="123"/>
      <c r="I32" s="124"/>
      <c r="J32" s="122"/>
      <c r="K32" s="123"/>
      <c r="L32" s="124"/>
      <c r="M32" s="122"/>
      <c r="N32" s="123"/>
      <c r="O32" s="124"/>
    </row>
    <row r="33" spans="1:15" ht="16.350000000000001" customHeight="1" thickTop="1" thickBot="1">
      <c r="A33" s="10"/>
      <c r="B33" s="120"/>
      <c r="C33" s="121"/>
      <c r="D33" s="128"/>
      <c r="E33" s="129"/>
      <c r="F33" s="130"/>
      <c r="G33" s="122"/>
      <c r="H33" s="123"/>
      <c r="I33" s="124"/>
      <c r="J33" s="122"/>
      <c r="K33" s="123"/>
      <c r="L33" s="124"/>
      <c r="M33" s="122"/>
      <c r="N33" s="123"/>
      <c r="O33" s="124"/>
    </row>
    <row r="34" spans="1:15" ht="14.1" thickTop="1"/>
    <row r="36" spans="1:15" ht="17.100000000000001">
      <c r="A36" s="55" t="s">
        <v>23</v>
      </c>
    </row>
    <row r="37" spans="1:15" ht="12" customHeight="1">
      <c r="A37" s="10"/>
    </row>
    <row r="38" spans="1:15">
      <c r="A38" s="10"/>
    </row>
    <row r="39" spans="1:15">
      <c r="A39" s="10"/>
    </row>
    <row r="40" spans="1:15">
      <c r="A40" s="10"/>
    </row>
    <row r="41" spans="1:15">
      <c r="A41" s="10"/>
    </row>
    <row r="42" spans="1:15">
      <c r="A42" s="10"/>
    </row>
    <row r="43" spans="1:15">
      <c r="A43" s="10"/>
    </row>
    <row r="44" spans="1:15">
      <c r="A44" s="10"/>
    </row>
    <row r="45" spans="1:15">
      <c r="A45" s="10"/>
    </row>
    <row r="46" spans="1:15">
      <c r="A46" s="10"/>
    </row>
    <row r="47" spans="1:15">
      <c r="A47" s="10"/>
    </row>
    <row r="48" spans="1:15">
      <c r="A48" s="10"/>
    </row>
    <row r="49" spans="1:1">
      <c r="A49" s="10"/>
    </row>
    <row r="50" spans="1:1">
      <c r="A50" s="10"/>
    </row>
    <row r="51" spans="1:1">
      <c r="A51" s="10"/>
    </row>
    <row r="52" spans="1:1">
      <c r="A52" s="10"/>
    </row>
    <row r="53" spans="1:1">
      <c r="A53" s="10"/>
    </row>
    <row r="54" spans="1:1">
      <c r="A54" s="10"/>
    </row>
    <row r="55" spans="1:1">
      <c r="A55" s="10"/>
    </row>
  </sheetData>
  <mergeCells count="39">
    <mergeCell ref="A1:H1"/>
    <mergeCell ref="B2:C3"/>
    <mergeCell ref="B4:H5"/>
    <mergeCell ref="B6:C7"/>
    <mergeCell ref="B20:C21"/>
    <mergeCell ref="G20:I21"/>
    <mergeCell ref="J20:L21"/>
    <mergeCell ref="D20:F21"/>
    <mergeCell ref="M20:O21"/>
    <mergeCell ref="G22:I23"/>
    <mergeCell ref="J22:L23"/>
    <mergeCell ref="M22:O23"/>
    <mergeCell ref="J24:L25"/>
    <mergeCell ref="M24:O25"/>
    <mergeCell ref="B30:C31"/>
    <mergeCell ref="G26:I27"/>
    <mergeCell ref="J26:L27"/>
    <mergeCell ref="M26:O27"/>
    <mergeCell ref="B26:C27"/>
    <mergeCell ref="D24:F25"/>
    <mergeCell ref="D26:F27"/>
    <mergeCell ref="D28:F29"/>
    <mergeCell ref="D30:F31"/>
    <mergeCell ref="B32:C33"/>
    <mergeCell ref="G32:I33"/>
    <mergeCell ref="J32:L33"/>
    <mergeCell ref="M32:O33"/>
    <mergeCell ref="B22:C23"/>
    <mergeCell ref="G28:I29"/>
    <mergeCell ref="J28:L29"/>
    <mergeCell ref="M28:O29"/>
    <mergeCell ref="B24:C25"/>
    <mergeCell ref="G30:I31"/>
    <mergeCell ref="J30:L31"/>
    <mergeCell ref="M30:O31"/>
    <mergeCell ref="D22:F23"/>
    <mergeCell ref="D32:F33"/>
    <mergeCell ref="B28:C29"/>
    <mergeCell ref="G24:I25"/>
  </mergeCells>
  <phoneticPr fontId="14" type="noConversion"/>
  <pageMargins left="0.25" right="0.25" top="0.75" bottom="0.75" header="0.3" footer="0.3"/>
  <pageSetup scale="65" fitToHeight="0" orientation="portrait"/>
  <headerFooter>
    <oddHeader>&amp;C&amp;"Arial,Bold"&amp;24RT-PCR</oddHeader>
  </headerFooter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2F571-BDF3-A948-83DD-0F1FBBB51981}">
  <dimension ref="A1:M103"/>
  <sheetViews>
    <sheetView workbookViewId="0">
      <selection activeCell="C8" sqref="C8"/>
    </sheetView>
  </sheetViews>
  <sheetFormatPr defaultColWidth="11.42578125" defaultRowHeight="12.95"/>
  <sheetData>
    <row r="1" spans="1:13">
      <c r="A1" t="s">
        <v>138</v>
      </c>
    </row>
    <row r="2" spans="1:13">
      <c r="A2" t="s">
        <v>139</v>
      </c>
    </row>
    <row r="3" spans="1:13">
      <c r="A3" t="s">
        <v>140</v>
      </c>
    </row>
    <row r="4" spans="1:13">
      <c r="A4" t="s">
        <v>141</v>
      </c>
    </row>
    <row r="6" spans="1:13">
      <c r="A6" t="s">
        <v>142</v>
      </c>
    </row>
    <row r="7" spans="1:13">
      <c r="A7" t="s">
        <v>143</v>
      </c>
      <c r="B7" t="s">
        <v>144</v>
      </c>
      <c r="C7" s="4" t="s">
        <v>145</v>
      </c>
      <c r="D7" t="s">
        <v>146</v>
      </c>
      <c r="E7" t="s">
        <v>147</v>
      </c>
      <c r="F7" t="s">
        <v>148</v>
      </c>
      <c r="G7" t="s">
        <v>149</v>
      </c>
      <c r="H7" t="s">
        <v>150</v>
      </c>
      <c r="I7" t="s">
        <v>151</v>
      </c>
      <c r="J7" t="s">
        <v>152</v>
      </c>
      <c r="K7" t="s">
        <v>153</v>
      </c>
      <c r="L7" t="s">
        <v>154</v>
      </c>
      <c r="M7" t="s">
        <v>155</v>
      </c>
    </row>
    <row r="8" spans="1:13">
      <c r="A8">
        <v>1</v>
      </c>
      <c r="B8" t="s">
        <v>156</v>
      </c>
      <c r="C8" s="5" t="str">
        <f>Extraction!L2</f>
        <v>22MB00150</v>
      </c>
    </row>
    <row r="9" spans="1:13">
      <c r="A9">
        <v>2</v>
      </c>
      <c r="B9" t="s">
        <v>157</v>
      </c>
      <c r="C9" s="5" t="str">
        <f>Extraction!L3</f>
        <v>22MB00151</v>
      </c>
    </row>
    <row r="10" spans="1:13">
      <c r="A10">
        <v>3</v>
      </c>
      <c r="B10" t="s">
        <v>158</v>
      </c>
      <c r="C10" s="5" t="str">
        <f>Extraction!L4</f>
        <v>22MB00152</v>
      </c>
    </row>
    <row r="11" spans="1:13">
      <c r="A11">
        <v>4</v>
      </c>
      <c r="B11" t="s">
        <v>159</v>
      </c>
      <c r="C11" s="5" t="str">
        <f>Extraction!L5</f>
        <v>22MB00153</v>
      </c>
    </row>
    <row r="12" spans="1:13">
      <c r="A12">
        <v>5</v>
      </c>
      <c r="B12" t="s">
        <v>160</v>
      </c>
      <c r="C12" s="5" t="str">
        <f>Extraction!L6</f>
        <v>22MB00154</v>
      </c>
    </row>
    <row r="13" spans="1:13">
      <c r="A13">
        <v>6</v>
      </c>
      <c r="B13" t="s">
        <v>161</v>
      </c>
      <c r="C13" s="5" t="str">
        <f>Extraction!L7</f>
        <v>22MB00155</v>
      </c>
    </row>
    <row r="14" spans="1:13">
      <c r="A14">
        <v>7</v>
      </c>
      <c r="B14" t="s">
        <v>162</v>
      </c>
      <c r="C14" s="5" t="str">
        <f>Extraction!L8</f>
        <v>22MB00156</v>
      </c>
    </row>
    <row r="15" spans="1:13">
      <c r="A15">
        <v>8</v>
      </c>
      <c r="B15" t="s">
        <v>163</v>
      </c>
      <c r="C15" s="5" t="str">
        <f>Extraction!L9</f>
        <v>22MB00157</v>
      </c>
    </row>
    <row r="16" spans="1:13">
      <c r="A16">
        <v>9</v>
      </c>
      <c r="B16" t="s">
        <v>164</v>
      </c>
      <c r="C16" s="5" t="str">
        <f>Extraction!L10</f>
        <v>22MB00158</v>
      </c>
    </row>
    <row r="17" spans="1:3">
      <c r="A17">
        <v>10</v>
      </c>
      <c r="B17" t="s">
        <v>165</v>
      </c>
      <c r="C17" s="5" t="str">
        <f>Extraction!L11</f>
        <v>22MB00159</v>
      </c>
    </row>
    <row r="18" spans="1:3">
      <c r="A18">
        <v>11</v>
      </c>
      <c r="B18" t="s">
        <v>166</v>
      </c>
      <c r="C18" s="5" t="str">
        <f>Extraction!L12</f>
        <v>22MB00160</v>
      </c>
    </row>
    <row r="19" spans="1:3">
      <c r="A19">
        <v>12</v>
      </c>
      <c r="B19" t="s">
        <v>167</v>
      </c>
      <c r="C19" s="6" t="str">
        <f>Extraction!L13</f>
        <v>VTM-1</v>
      </c>
    </row>
    <row r="20" spans="1:3">
      <c r="A20">
        <v>13</v>
      </c>
      <c r="B20" t="s">
        <v>168</v>
      </c>
      <c r="C20" s="5" t="str">
        <f>Extraction!L14</f>
        <v>23MB00201</v>
      </c>
    </row>
    <row r="21" spans="1:3">
      <c r="A21">
        <v>14</v>
      </c>
      <c r="B21" t="s">
        <v>169</v>
      </c>
      <c r="C21" s="5" t="str">
        <f>Extraction!L15</f>
        <v>23MB00202</v>
      </c>
    </row>
    <row r="22" spans="1:3">
      <c r="A22">
        <v>15</v>
      </c>
      <c r="B22" t="s">
        <v>170</v>
      </c>
      <c r="C22" s="5" t="str">
        <f>Extraction!L16</f>
        <v>23MB00203</v>
      </c>
    </row>
    <row r="23" spans="1:3">
      <c r="A23">
        <v>16</v>
      </c>
      <c r="B23" t="s">
        <v>171</v>
      </c>
      <c r="C23" s="5" t="str">
        <f>Extraction!L17</f>
        <v>23MB00204</v>
      </c>
    </row>
    <row r="24" spans="1:3">
      <c r="A24">
        <v>17</v>
      </c>
      <c r="B24" t="s">
        <v>172</v>
      </c>
      <c r="C24" s="5" t="str">
        <f>Extraction!L18</f>
        <v>23MB00205</v>
      </c>
    </row>
    <row r="25" spans="1:3">
      <c r="A25">
        <v>18</v>
      </c>
      <c r="B25" t="s">
        <v>173</v>
      </c>
      <c r="C25" s="5" t="str">
        <f>Extraction!L19</f>
        <v>23MB00206</v>
      </c>
    </row>
    <row r="26" spans="1:3">
      <c r="A26">
        <v>19</v>
      </c>
      <c r="B26" t="s">
        <v>174</v>
      </c>
      <c r="C26" s="5" t="str">
        <f>Extraction!L20</f>
        <v>23MB00207</v>
      </c>
    </row>
    <row r="27" spans="1:3">
      <c r="A27">
        <v>20</v>
      </c>
      <c r="B27" t="s">
        <v>175</v>
      </c>
      <c r="C27" s="5" t="str">
        <f>Extraction!L21</f>
        <v>23MB00208</v>
      </c>
    </row>
    <row r="28" spans="1:3">
      <c r="A28">
        <v>21</v>
      </c>
      <c r="B28" t="s">
        <v>176</v>
      </c>
      <c r="C28" s="5" t="str">
        <f>Extraction!L22</f>
        <v>23MB00209</v>
      </c>
    </row>
    <row r="29" spans="1:3">
      <c r="A29">
        <v>22</v>
      </c>
      <c r="B29" t="s">
        <v>177</v>
      </c>
      <c r="C29" s="5" t="str">
        <f>Extraction!L23</f>
        <v>23MB00210</v>
      </c>
    </row>
    <row r="30" spans="1:3">
      <c r="A30">
        <v>23</v>
      </c>
      <c r="B30" t="s">
        <v>178</v>
      </c>
      <c r="C30" s="5" t="str">
        <f>Extraction!L24</f>
        <v>23MB00211</v>
      </c>
    </row>
    <row r="31" spans="1:3">
      <c r="A31">
        <v>24</v>
      </c>
      <c r="B31" t="s">
        <v>179</v>
      </c>
      <c r="C31" s="6" t="str">
        <f>Extraction!L25</f>
        <v>VTM-2</v>
      </c>
    </row>
    <row r="32" spans="1:3">
      <c r="A32">
        <v>25</v>
      </c>
      <c r="B32" t="s">
        <v>180</v>
      </c>
      <c r="C32" s="5" t="str">
        <f>Extraction!L26</f>
        <v>23MB00212</v>
      </c>
    </row>
    <row r="33" spans="1:3">
      <c r="A33">
        <v>26</v>
      </c>
      <c r="B33" t="s">
        <v>181</v>
      </c>
      <c r="C33" s="5" t="str">
        <f>Extraction!L27</f>
        <v>23MB00213</v>
      </c>
    </row>
    <row r="34" spans="1:3">
      <c r="A34">
        <v>27</v>
      </c>
      <c r="B34" t="s">
        <v>182</v>
      </c>
      <c r="C34" s="5" t="str">
        <f>Extraction!L28</f>
        <v>23MB00214</v>
      </c>
    </row>
    <row r="35" spans="1:3">
      <c r="A35">
        <v>28</v>
      </c>
      <c r="B35" t="s">
        <v>183</v>
      </c>
      <c r="C35" s="5" t="str">
        <f>Extraction!L29</f>
        <v>23MB00215</v>
      </c>
    </row>
    <row r="36" spans="1:3">
      <c r="A36">
        <v>29</v>
      </c>
      <c r="B36" t="s">
        <v>184</v>
      </c>
      <c r="C36" s="5" t="str">
        <f>Extraction!L30</f>
        <v>23MB00216</v>
      </c>
    </row>
    <row r="37" spans="1:3">
      <c r="A37">
        <v>30</v>
      </c>
      <c r="B37" t="s">
        <v>185</v>
      </c>
      <c r="C37" s="5" t="str">
        <f>Extraction!L31</f>
        <v>23MB00217</v>
      </c>
    </row>
    <row r="38" spans="1:3">
      <c r="A38">
        <v>31</v>
      </c>
      <c r="B38" t="s">
        <v>186</v>
      </c>
      <c r="C38" s="5" t="str">
        <f>Extraction!L32</f>
        <v>23MB00218</v>
      </c>
    </row>
    <row r="39" spans="1:3">
      <c r="A39">
        <v>32</v>
      </c>
      <c r="B39" t="s">
        <v>187</v>
      </c>
      <c r="C39" s="5" t="str">
        <f>Extraction!L33</f>
        <v>23MB00219</v>
      </c>
    </row>
    <row r="40" spans="1:3">
      <c r="A40">
        <v>33</v>
      </c>
      <c r="B40" t="s">
        <v>188</v>
      </c>
      <c r="C40" s="5" t="str">
        <f>Extraction!L34</f>
        <v>23MB00220</v>
      </c>
    </row>
    <row r="41" spans="1:3">
      <c r="A41">
        <v>34</v>
      </c>
      <c r="B41" t="s">
        <v>189</v>
      </c>
      <c r="C41" s="5" t="str">
        <f>Extraction!L35</f>
        <v>23MB00221</v>
      </c>
    </row>
    <row r="42" spans="1:3">
      <c r="A42">
        <v>35</v>
      </c>
      <c r="B42" t="s">
        <v>190</v>
      </c>
      <c r="C42" s="5" t="str">
        <f>Extraction!L36</f>
        <v>23MB00222</v>
      </c>
    </row>
    <row r="43" spans="1:3">
      <c r="A43">
        <v>36</v>
      </c>
      <c r="B43" t="s">
        <v>191</v>
      </c>
      <c r="C43" s="6" t="str">
        <f>Extraction!L37</f>
        <v>VTM-3</v>
      </c>
    </row>
    <row r="44" spans="1:3">
      <c r="A44">
        <v>37</v>
      </c>
      <c r="B44" t="s">
        <v>192</v>
      </c>
      <c r="C44" s="5" t="str">
        <f>Extraction!L38</f>
        <v>23MB00223</v>
      </c>
    </row>
    <row r="45" spans="1:3">
      <c r="A45">
        <v>38</v>
      </c>
      <c r="B45" t="s">
        <v>193</v>
      </c>
      <c r="C45" s="5" t="str">
        <f>Extraction!L39</f>
        <v>23MB00224</v>
      </c>
    </row>
    <row r="46" spans="1:3">
      <c r="A46">
        <v>39</v>
      </c>
      <c r="B46" t="s">
        <v>194</v>
      </c>
      <c r="C46" s="5" t="str">
        <f>Extraction!L40</f>
        <v>23MB00225</v>
      </c>
    </row>
    <row r="47" spans="1:3">
      <c r="A47">
        <v>40</v>
      </c>
      <c r="B47" t="s">
        <v>195</v>
      </c>
      <c r="C47" s="5" t="str">
        <f>Extraction!L41</f>
        <v>23MB00226</v>
      </c>
    </row>
    <row r="48" spans="1:3">
      <c r="A48">
        <v>41</v>
      </c>
      <c r="B48" t="s">
        <v>196</v>
      </c>
      <c r="C48" s="5" t="str">
        <f>Extraction!L42</f>
        <v>23MB00227</v>
      </c>
    </row>
    <row r="49" spans="1:3">
      <c r="A49">
        <v>42</v>
      </c>
      <c r="B49" t="s">
        <v>197</v>
      </c>
      <c r="C49" s="5" t="str">
        <f>Extraction!L43</f>
        <v>23MB00228</v>
      </c>
    </row>
    <row r="50" spans="1:3">
      <c r="A50">
        <v>43</v>
      </c>
      <c r="B50" t="s">
        <v>198</v>
      </c>
      <c r="C50" s="5" t="str">
        <f>Extraction!L44</f>
        <v>23MB00229</v>
      </c>
    </row>
    <row r="51" spans="1:3">
      <c r="A51">
        <v>44</v>
      </c>
      <c r="B51" t="s">
        <v>199</v>
      </c>
      <c r="C51" s="5" t="str">
        <f>Extraction!L45</f>
        <v>23MB00230</v>
      </c>
    </row>
    <row r="52" spans="1:3">
      <c r="A52">
        <v>45</v>
      </c>
      <c r="B52" t="s">
        <v>200</v>
      </c>
      <c r="C52" s="5" t="str">
        <f>Extraction!L46</f>
        <v>23MB00231</v>
      </c>
    </row>
    <row r="53" spans="1:3">
      <c r="A53">
        <v>46</v>
      </c>
      <c r="B53" t="s">
        <v>201</v>
      </c>
      <c r="C53" s="5" t="str">
        <f>Extraction!L47</f>
        <v>23MB00232</v>
      </c>
    </row>
    <row r="54" spans="1:3">
      <c r="A54">
        <v>47</v>
      </c>
      <c r="B54" t="s">
        <v>202</v>
      </c>
      <c r="C54" s="5" t="str">
        <f>Extraction!L48</f>
        <v>23MB00233</v>
      </c>
    </row>
    <row r="55" spans="1:3">
      <c r="A55">
        <v>48</v>
      </c>
      <c r="B55" t="s">
        <v>203</v>
      </c>
      <c r="C55" s="6" t="str">
        <f>Extraction!L49</f>
        <v>VTM-4</v>
      </c>
    </row>
    <row r="56" spans="1:3">
      <c r="A56">
        <v>49</v>
      </c>
      <c r="B56" t="s">
        <v>204</v>
      </c>
      <c r="C56" s="5" t="str">
        <f>Extraction!L50</f>
        <v>23MB00234</v>
      </c>
    </row>
    <row r="57" spans="1:3">
      <c r="A57">
        <v>50</v>
      </c>
      <c r="B57" t="s">
        <v>205</v>
      </c>
      <c r="C57" s="5" t="str">
        <f>Extraction!L51</f>
        <v>23MB00235</v>
      </c>
    </row>
    <row r="58" spans="1:3">
      <c r="A58">
        <v>51</v>
      </c>
      <c r="B58" t="s">
        <v>206</v>
      </c>
      <c r="C58" s="5" t="str">
        <f>Extraction!L52</f>
        <v>23MB00236</v>
      </c>
    </row>
    <row r="59" spans="1:3">
      <c r="A59">
        <v>52</v>
      </c>
      <c r="B59" t="s">
        <v>207</v>
      </c>
      <c r="C59" s="5" t="str">
        <f>Extraction!L53</f>
        <v>23MB00237</v>
      </c>
    </row>
    <row r="60" spans="1:3">
      <c r="A60">
        <v>53</v>
      </c>
      <c r="B60" t="s">
        <v>208</v>
      </c>
      <c r="C60" s="5" t="str">
        <f>Extraction!L54</f>
        <v>23MB00238</v>
      </c>
    </row>
    <row r="61" spans="1:3">
      <c r="A61">
        <v>54</v>
      </c>
      <c r="B61" t="s">
        <v>209</v>
      </c>
      <c r="C61" s="5" t="str">
        <f>Extraction!L55</f>
        <v>23MB00239</v>
      </c>
    </row>
    <row r="62" spans="1:3">
      <c r="A62">
        <v>55</v>
      </c>
      <c r="B62" t="s">
        <v>210</v>
      </c>
      <c r="C62" s="5" t="str">
        <f>Extraction!L56</f>
        <v>23MB00240</v>
      </c>
    </row>
    <row r="63" spans="1:3">
      <c r="A63">
        <v>56</v>
      </c>
      <c r="B63" t="s">
        <v>211</v>
      </c>
      <c r="C63" s="5" t="str">
        <f>Extraction!L57</f>
        <v>23MB00241</v>
      </c>
    </row>
    <row r="64" spans="1:3">
      <c r="A64">
        <v>57</v>
      </c>
      <c r="B64" t="s">
        <v>212</v>
      </c>
      <c r="C64" s="5" t="str">
        <f>Extraction!L58</f>
        <v>23MB00242</v>
      </c>
    </row>
    <row r="65" spans="1:3">
      <c r="A65">
        <v>58</v>
      </c>
      <c r="B65" t="s">
        <v>213</v>
      </c>
      <c r="C65" s="5" t="str">
        <f>Extraction!L59</f>
        <v>23MB00243</v>
      </c>
    </row>
    <row r="66" spans="1:3">
      <c r="A66">
        <v>59</v>
      </c>
      <c r="B66" t="s">
        <v>214</v>
      </c>
      <c r="C66" s="5" t="str">
        <f>Extraction!L60</f>
        <v>23MB00244</v>
      </c>
    </row>
    <row r="67" spans="1:3">
      <c r="A67">
        <v>60</v>
      </c>
      <c r="B67" t="s">
        <v>215</v>
      </c>
      <c r="C67" s="6" t="str">
        <f>Extraction!L61</f>
        <v>VTM-5</v>
      </c>
    </row>
    <row r="68" spans="1:3">
      <c r="A68">
        <v>61</v>
      </c>
      <c r="B68" t="s">
        <v>216</v>
      </c>
      <c r="C68" s="5" t="str">
        <f>Extraction!L62</f>
        <v>23MB00245</v>
      </c>
    </row>
    <row r="69" spans="1:3">
      <c r="A69">
        <v>62</v>
      </c>
      <c r="B69" t="s">
        <v>217</v>
      </c>
      <c r="C69" s="5" t="str">
        <f>Extraction!L63</f>
        <v>23MB00246</v>
      </c>
    </row>
    <row r="70" spans="1:3">
      <c r="A70">
        <v>63</v>
      </c>
      <c r="B70" t="s">
        <v>218</v>
      </c>
      <c r="C70" s="5" t="str">
        <f>Extraction!L64</f>
        <v>23MB00247</v>
      </c>
    </row>
    <row r="71" spans="1:3">
      <c r="A71">
        <v>64</v>
      </c>
      <c r="B71" t="s">
        <v>219</v>
      </c>
      <c r="C71" s="5" t="str">
        <f>Extraction!L65</f>
        <v>23MB00248</v>
      </c>
    </row>
    <row r="72" spans="1:3">
      <c r="A72">
        <v>65</v>
      </c>
      <c r="B72" t="s">
        <v>220</v>
      </c>
      <c r="C72" s="5" t="str">
        <f>Extraction!L66</f>
        <v>23MB00249</v>
      </c>
    </row>
    <row r="73" spans="1:3">
      <c r="A73">
        <v>66</v>
      </c>
      <c r="B73" t="s">
        <v>221</v>
      </c>
      <c r="C73" s="5" t="str">
        <f>Extraction!L67</f>
        <v>23MB00250</v>
      </c>
    </row>
    <row r="74" spans="1:3">
      <c r="A74">
        <v>67</v>
      </c>
      <c r="B74" t="s">
        <v>222</v>
      </c>
      <c r="C74" s="5" t="str">
        <f>Extraction!L68</f>
        <v>23MB00251</v>
      </c>
    </row>
    <row r="75" spans="1:3">
      <c r="A75">
        <v>68</v>
      </c>
      <c r="B75" t="s">
        <v>223</v>
      </c>
      <c r="C75" s="5" t="str">
        <f>Extraction!L69</f>
        <v>23MB00252</v>
      </c>
    </row>
    <row r="76" spans="1:3">
      <c r="A76">
        <v>69</v>
      </c>
      <c r="B76" t="s">
        <v>224</v>
      </c>
      <c r="C76" s="5" t="str">
        <f>Extraction!L70</f>
        <v>23MB00253</v>
      </c>
    </row>
    <row r="77" spans="1:3">
      <c r="A77">
        <v>70</v>
      </c>
      <c r="B77" t="s">
        <v>225</v>
      </c>
      <c r="C77" s="5" t="str">
        <f>Extraction!L71</f>
        <v>23MB00254</v>
      </c>
    </row>
    <row r="78" spans="1:3">
      <c r="A78">
        <v>71</v>
      </c>
      <c r="B78" t="s">
        <v>226</v>
      </c>
      <c r="C78" s="5" t="str">
        <f>Extraction!L72</f>
        <v>23MB00255</v>
      </c>
    </row>
    <row r="79" spans="1:3">
      <c r="A79">
        <v>72</v>
      </c>
      <c r="B79" t="s">
        <v>227</v>
      </c>
      <c r="C79" s="6" t="str">
        <f>Extraction!L73</f>
        <v>VTM-6</v>
      </c>
    </row>
    <row r="80" spans="1:3">
      <c r="A80">
        <v>73</v>
      </c>
      <c r="B80" t="s">
        <v>228</v>
      </c>
      <c r="C80" s="5" t="str">
        <f>Extraction!L74</f>
        <v>23MB00256</v>
      </c>
    </row>
    <row r="81" spans="1:3">
      <c r="A81">
        <v>74</v>
      </c>
      <c r="B81" t="s">
        <v>229</v>
      </c>
      <c r="C81" s="5" t="str">
        <f>Extraction!L75</f>
        <v>23MB00257</v>
      </c>
    </row>
    <row r="82" spans="1:3">
      <c r="A82">
        <v>75</v>
      </c>
      <c r="B82" t="s">
        <v>230</v>
      </c>
      <c r="C82" s="5" t="str">
        <f>Extraction!L76</f>
        <v>23MB00258</v>
      </c>
    </row>
    <row r="83" spans="1:3">
      <c r="A83">
        <v>76</v>
      </c>
      <c r="B83" t="s">
        <v>231</v>
      </c>
      <c r="C83" s="5" t="str">
        <f>Extraction!L77</f>
        <v>23MB00259</v>
      </c>
    </row>
    <row r="84" spans="1:3">
      <c r="A84">
        <v>77</v>
      </c>
      <c r="B84" t="s">
        <v>232</v>
      </c>
      <c r="C84" s="5" t="str">
        <f>Extraction!L78</f>
        <v>23MB00260</v>
      </c>
    </row>
    <row r="85" spans="1:3">
      <c r="A85">
        <v>78</v>
      </c>
      <c r="B85" t="s">
        <v>233</v>
      </c>
      <c r="C85" s="5" t="str">
        <f>Extraction!L79</f>
        <v>23MB00261</v>
      </c>
    </row>
    <row r="86" spans="1:3">
      <c r="A86">
        <v>79</v>
      </c>
      <c r="B86" t="s">
        <v>234</v>
      </c>
      <c r="C86" s="5" t="str">
        <f>Extraction!L80</f>
        <v>23MB00262</v>
      </c>
    </row>
    <row r="87" spans="1:3">
      <c r="A87">
        <v>80</v>
      </c>
      <c r="B87" t="s">
        <v>235</v>
      </c>
      <c r="C87" s="5" t="str">
        <f>Extraction!L81</f>
        <v>23MB00263</v>
      </c>
    </row>
    <row r="88" spans="1:3">
      <c r="A88">
        <v>81</v>
      </c>
      <c r="B88" t="s">
        <v>236</v>
      </c>
      <c r="C88" s="5" t="str">
        <f>Extraction!L82</f>
        <v>23MB00264</v>
      </c>
    </row>
    <row r="89" spans="1:3">
      <c r="A89">
        <v>82</v>
      </c>
      <c r="B89" t="s">
        <v>237</v>
      </c>
      <c r="C89" s="5" t="str">
        <f>Extraction!L83</f>
        <v>23MB00265</v>
      </c>
    </row>
    <row r="90" spans="1:3">
      <c r="A90">
        <v>83</v>
      </c>
      <c r="B90" t="s">
        <v>238</v>
      </c>
      <c r="C90" s="5" t="str">
        <f>Extraction!L84</f>
        <v>23MB00266</v>
      </c>
    </row>
    <row r="91" spans="1:3">
      <c r="A91">
        <v>84</v>
      </c>
      <c r="B91" t="s">
        <v>239</v>
      </c>
      <c r="C91" s="6" t="str">
        <f>Extraction!L85</f>
        <v>PR8</v>
      </c>
    </row>
    <row r="92" spans="1:3">
      <c r="A92">
        <v>85</v>
      </c>
      <c r="B92" t="s">
        <v>240</v>
      </c>
      <c r="C92" s="7" t="str">
        <f>Extraction!L86</f>
        <v>23MB00267</v>
      </c>
    </row>
    <row r="93" spans="1:3">
      <c r="A93">
        <v>86</v>
      </c>
      <c r="B93" t="s">
        <v>241</v>
      </c>
      <c r="C93" s="5" t="str">
        <f>Extraction!L87</f>
        <v>23MB00268</v>
      </c>
    </row>
    <row r="94" spans="1:3">
      <c r="A94">
        <v>87</v>
      </c>
      <c r="B94" t="s">
        <v>242</v>
      </c>
      <c r="C94" s="5" t="str">
        <f>Extraction!L88</f>
        <v>23MB00269</v>
      </c>
    </row>
    <row r="95" spans="1:3">
      <c r="A95">
        <v>88</v>
      </c>
      <c r="B95" t="s">
        <v>243</v>
      </c>
      <c r="C95" s="5" t="str">
        <f>Extraction!L89</f>
        <v>23MB00270</v>
      </c>
    </row>
    <row r="96" spans="1:3">
      <c r="A96">
        <v>89</v>
      </c>
      <c r="B96" t="s">
        <v>244</v>
      </c>
      <c r="C96" s="5" t="str">
        <f>Extraction!L90</f>
        <v>23MB00271</v>
      </c>
    </row>
    <row r="97" spans="1:3">
      <c r="A97">
        <v>90</v>
      </c>
      <c r="B97" t="s">
        <v>245</v>
      </c>
      <c r="C97" s="5" t="str">
        <f>Extraction!L91</f>
        <v>23MB00272</v>
      </c>
    </row>
    <row r="98" spans="1:3">
      <c r="A98">
        <v>91</v>
      </c>
      <c r="B98" t="s">
        <v>246</v>
      </c>
      <c r="C98" s="5" t="str">
        <f>Extraction!L92</f>
        <v>23MB00273</v>
      </c>
    </row>
    <row r="99" spans="1:3">
      <c r="A99">
        <v>92</v>
      </c>
      <c r="B99" t="s">
        <v>247</v>
      </c>
      <c r="C99" s="5" t="str">
        <f>Extraction!L93</f>
        <v>23MB00274</v>
      </c>
    </row>
    <row r="100" spans="1:3">
      <c r="A100">
        <v>93</v>
      </c>
      <c r="B100" t="s">
        <v>248</v>
      </c>
      <c r="C100" s="5" t="str">
        <f>Extraction!L94</f>
        <v>23MB00275</v>
      </c>
    </row>
    <row r="101" spans="1:3">
      <c r="A101">
        <v>94</v>
      </c>
      <c r="B101" t="s">
        <v>249</v>
      </c>
      <c r="C101" s="5" t="str">
        <f>Extraction!L95</f>
        <v>23MB00276</v>
      </c>
    </row>
    <row r="102" spans="1:3">
      <c r="A102">
        <v>95</v>
      </c>
      <c r="B102" t="s">
        <v>250</v>
      </c>
      <c r="C102" s="5" t="str">
        <f>Extraction!L96</f>
        <v>23MB00277</v>
      </c>
    </row>
    <row r="103" spans="1:3">
      <c r="A103">
        <v>96</v>
      </c>
      <c r="B103" t="s">
        <v>251</v>
      </c>
      <c r="C103" s="5" t="str">
        <f>Extraction!L97</f>
        <v>PR8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DDA9E-C031-1E41-B3ED-3D310562485B}">
  <dimension ref="A1"/>
  <sheetViews>
    <sheetView workbookViewId="0"/>
  </sheetViews>
  <sheetFormatPr defaultColWidth="11.42578125" defaultRowHeight="12.9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Stephanie N Hurd</cp:lastModifiedBy>
  <cp:revision/>
  <dcterms:created xsi:type="dcterms:W3CDTF">2012-06-13T15:20:06Z</dcterms:created>
  <dcterms:modified xsi:type="dcterms:W3CDTF">2024-12-12T15:52:04Z</dcterms:modified>
  <cp:category/>
  <cp:contentStatus/>
</cp:coreProperties>
</file>